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DuLieu" sheetId="2" state="visible" r:id="rId4"/>
    <sheet name="DanhMuc" sheetId="3" state="visible" r:id="rId5"/>
    <sheet name="BT_VLOOKUP" sheetId="4" state="visible" r:id="rId6"/>
    <sheet name="BT_SUMIFS" sheetId="5" state="visible" r:id="rId7"/>
    <sheet name="BT_COUNTIFS" sheetId="6" state="visible" r:id="rId8"/>
    <sheet name="DapAn" sheetId="7" state="visible" r:id="rId9"/>
  </sheets>
  <definedNames>
    <definedName function="false" hidden="true" localSheetId="1" name="_xlnm._FilterDatabase" vbProcedure="false">DuLieu!$A$1:$I$51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<sst xmlns="http://schemas.openxmlformats.org/spreadsheetml/2006/main" count="711" uniqueCount="338">
  <si>
    <t xml:space="preserve">FILE THỰC HÀNH EXCEL: VLOOKUP • SUMIFS • COUNTIFS</t>
  </si>
  <si>
    <t xml:space="preserve">Làm lần lượt từ trái sang phải. Ô VÀNG = bạn gõ công thức. Ô XANH LÁ = ví dụ mẫu đã làm sẵn.</t>
  </si>
  <si>
    <t xml:space="preserve">Cách dùng file</t>
  </si>
  <si>
    <t xml:space="preserve">1. Xem dữ liệu ở sheet DuLieu (50 đơn hàng) và DanhMuc (sản phẩm, nhân viên, bảng thưởng).</t>
  </si>
  <si>
    <t xml:space="preserve">2. Vào từng sheet BT_..., đọc ví dụ mẫu (bấm vào ô xanh để xem công thức), rồi gõ công thức vào ô vàng.</t>
  </si>
  <si>
    <t xml:space="preserve">3. Cột "Kiểm tra" tự báo ✔ Đúng / ✘ Sai. Sai thì đọc cột Gợi ý và thử lại trước khi xem sheet DapAn.</t>
  </si>
  <si>
    <t xml:space="preserve">Ghi nhớ nhanh</t>
  </si>
  <si>
    <t xml:space="preserve">VLOOKUP</t>
  </si>
  <si>
    <t xml:space="preserve">=VLOOKUP(giá_trị_tìm, bảng, số_thứ_tự_cột, FALSE)  — FALSE = tìm chính xác; TRUE = dò gần đúng (bảng phải sắp xếp tăng dần). Cột tìm phải nằm BÊN TRÁI bảng.</t>
  </si>
  <si>
    <t xml:space="preserve">SUMIFS</t>
  </si>
  <si>
    <t xml:space="preserve">=SUMIFS(vùng_cần_cộng, vùng_đk1, đk1, vùng_đk2, đk2, …)  — vùng cần cộng đứng ĐẦU TIÊN.</t>
  </si>
  <si>
    <t xml:space="preserve">COUNTIFS</t>
  </si>
  <si>
    <t xml:space="preserve">=COUNTIFS(vùng_đk1, đk1, vùng_đk2, đk2, …)  — đếm số dòng thỏa TẤT CẢ điều kiện.</t>
  </si>
  <si>
    <t xml:space="preserve">Điều kiện so sánh</t>
  </si>
  <si>
    <t xml:space="preserve">Viết trong ngoặc kép: "&gt;5", "&lt;&gt;Hà Nội". Ghép với ô/hàm bằng &amp;: "&gt;="&amp;DATE(2026,2,1) hoặc "&gt;"&amp;H2</t>
  </si>
  <si>
    <t xml:space="preserve">Ký tự đại diện</t>
  </si>
  <si>
    <t xml:space="preserve">* = chuỗi bất kỳ, ? = 1 ký tự. VD "*Thị*" = có chữ Thị ở bất kỳ đâu.</t>
  </si>
  <si>
    <t xml:space="preserve">Dấu $ (cố định ô)</t>
  </si>
  <si>
    <t xml:space="preserve">F4 để chuyển: $A$2 (cố định cả hai), $A2 (cố định cột), A$2 (cố định dòng). Bảng tìm/vùng dữ liệu nên cố định $ để kéo công thức không bị lệch.</t>
  </si>
  <si>
    <t xml:space="preserve">Dấu phân cách</t>
  </si>
  <si>
    <t xml:space="preserve">Nếu Excel báo lỗi công thức, máy bạn có thể dùng dấu chấm phẩy ( ; ) thay cho dấu phẩy ( , ).</t>
  </si>
  <si>
    <t xml:space="preserve">Bảng điểm</t>
  </si>
  <si>
    <t xml:space="preserve">Bài</t>
  </si>
  <si>
    <t xml:space="preserve">Số câu đúng / tổng</t>
  </si>
  <si>
    <t xml:space="preserve">(Mỗi bảng tổng hợp tính là 1 câu, đúng khi tất cả các ô đều đúng.)</t>
  </si>
  <si>
    <t xml:space="preserve">Mã đơn</t>
  </si>
  <si>
    <t xml:space="preserve">Ngày</t>
  </si>
  <si>
    <t xml:space="preserve">Nhân viên</t>
  </si>
  <si>
    <t xml:space="preserve">Khu vực</t>
  </si>
  <si>
    <t xml:space="preserve">Mã SP</t>
  </si>
  <si>
    <t xml:space="preserve">Nhóm hàng</t>
  </si>
  <si>
    <t xml:space="preserve">Số lượng</t>
  </si>
  <si>
    <t xml:space="preserve">Đơn giá</t>
  </si>
  <si>
    <t xml:space="preserve">Thành tiền</t>
  </si>
  <si>
    <t xml:space="preserve">DH001</t>
  </si>
  <si>
    <t xml:space="preserve">Lê Hoàng Cường</t>
  </si>
  <si>
    <t xml:space="preserve">Đà Nẵng</t>
  </si>
  <si>
    <t xml:space="preserve">SP05</t>
  </si>
  <si>
    <t xml:space="preserve">Phụ kiện</t>
  </si>
  <si>
    <t xml:space="preserve">DH002</t>
  </si>
  <si>
    <t xml:space="preserve">Hoàng Thị Em</t>
  </si>
  <si>
    <t xml:space="preserve">TP.HCM</t>
  </si>
  <si>
    <t xml:space="preserve">SP06</t>
  </si>
  <si>
    <t xml:space="preserve">Văn phòng</t>
  </si>
  <si>
    <t xml:space="preserve">DH003</t>
  </si>
  <si>
    <t xml:space="preserve">Trần Thị Bình</t>
  </si>
  <si>
    <t xml:space="preserve">Hà Nội</t>
  </si>
  <si>
    <t xml:space="preserve">SP01</t>
  </si>
  <si>
    <t xml:space="preserve">Điện tử</t>
  </si>
  <si>
    <t xml:space="preserve">DH004</t>
  </si>
  <si>
    <t xml:space="preserve">DH005</t>
  </si>
  <si>
    <t xml:space="preserve">Phạm Thu Dung</t>
  </si>
  <si>
    <t xml:space="preserve">SP02</t>
  </si>
  <si>
    <t xml:space="preserve">DH006</t>
  </si>
  <si>
    <t xml:space="preserve">SP03</t>
  </si>
  <si>
    <t xml:space="preserve">DH007</t>
  </si>
  <si>
    <t xml:space="preserve">SP07</t>
  </si>
  <si>
    <t xml:space="preserve">DH008</t>
  </si>
  <si>
    <t xml:space="preserve">SP04</t>
  </si>
  <si>
    <t xml:space="preserve">DH009</t>
  </si>
  <si>
    <t xml:space="preserve">DH010</t>
  </si>
  <si>
    <t xml:space="preserve">DH011</t>
  </si>
  <si>
    <t xml:space="preserve">DH012</t>
  </si>
  <si>
    <t xml:space="preserve">Nguyễn Văn An</t>
  </si>
  <si>
    <t xml:space="preserve">SP08</t>
  </si>
  <si>
    <t xml:space="preserve">DH013</t>
  </si>
  <si>
    <t xml:space="preserve">DH014</t>
  </si>
  <si>
    <t xml:space="preserve">DH015</t>
  </si>
  <si>
    <t xml:space="preserve">DH016</t>
  </si>
  <si>
    <t xml:space="preserve">DH017</t>
  </si>
  <si>
    <t xml:space="preserve">DH018</t>
  </si>
  <si>
    <t xml:space="preserve">DH019</t>
  </si>
  <si>
    <t xml:space="preserve">DH020</t>
  </si>
  <si>
    <t xml:space="preserve">DH021</t>
  </si>
  <si>
    <t xml:space="preserve">DH022</t>
  </si>
  <si>
    <t xml:space="preserve">DH023</t>
  </si>
  <si>
    <t xml:space="preserve">DH024</t>
  </si>
  <si>
    <t xml:space="preserve">DH025</t>
  </si>
  <si>
    <t xml:space="preserve">DH026</t>
  </si>
  <si>
    <t xml:space="preserve">DH027</t>
  </si>
  <si>
    <t xml:space="preserve">DH028</t>
  </si>
  <si>
    <t xml:space="preserve">DH029</t>
  </si>
  <si>
    <t xml:space="preserve">DH030</t>
  </si>
  <si>
    <t xml:space="preserve">DH031</t>
  </si>
  <si>
    <t xml:space="preserve">DH032</t>
  </si>
  <si>
    <t xml:space="preserve">DH033</t>
  </si>
  <si>
    <t xml:space="preserve">DH034</t>
  </si>
  <si>
    <t xml:space="preserve">DH035</t>
  </si>
  <si>
    <t xml:space="preserve">DH036</t>
  </si>
  <si>
    <t xml:space="preserve">DH037</t>
  </si>
  <si>
    <t xml:space="preserve">DH038</t>
  </si>
  <si>
    <t xml:space="preserve">DH039</t>
  </si>
  <si>
    <t xml:space="preserve">DH040</t>
  </si>
  <si>
    <t xml:space="preserve">DH041</t>
  </si>
  <si>
    <t xml:space="preserve">DH042</t>
  </si>
  <si>
    <t xml:space="preserve">DH043</t>
  </si>
  <si>
    <t xml:space="preserve">DH044</t>
  </si>
  <si>
    <t xml:space="preserve">DH045</t>
  </si>
  <si>
    <t xml:space="preserve">DH046</t>
  </si>
  <si>
    <t xml:space="preserve">DH047</t>
  </si>
  <si>
    <t xml:space="preserve">DH048</t>
  </si>
  <si>
    <t xml:space="preserve">DH049</t>
  </si>
  <si>
    <t xml:space="preserve">DH050</t>
  </si>
  <si>
    <t xml:space="preserve">Tên sản phẩm</t>
  </si>
  <si>
    <t xml:space="preserve">Mã NV</t>
  </si>
  <si>
    <t xml:space="preserve">Tên nhân viên</t>
  </si>
  <si>
    <t xml:space="preserve">Chi nhánh</t>
  </si>
  <si>
    <t xml:space="preserve">Doanh số từ</t>
  </si>
  <si>
    <t xml:space="preserve">% Thưởng</t>
  </si>
  <si>
    <t xml:space="preserve">Laptop Dell Inspiron</t>
  </si>
  <si>
    <t xml:space="preserve">NV01</t>
  </si>
  <si>
    <t xml:space="preserve">Chuột Logitech</t>
  </si>
  <si>
    <t xml:space="preserve">NV02</t>
  </si>
  <si>
    <t xml:space="preserve">Bàn phím cơ</t>
  </si>
  <si>
    <t xml:space="preserve">NV03</t>
  </si>
  <si>
    <t xml:space="preserve">Màn hình LG 24 inch</t>
  </si>
  <si>
    <t xml:space="preserve">NV04</t>
  </si>
  <si>
    <t xml:space="preserve">Tai nghe Sony</t>
  </si>
  <si>
    <t xml:space="preserve">NV05</t>
  </si>
  <si>
    <t xml:space="preserve">Máy in Canon</t>
  </si>
  <si>
    <t xml:space="preserve">Lưu ý: bảng thưởng sắp xếp TĂNG DẦN — bắt buộc khi dùng VLOOKUP dò gần đúng (TRUE).</t>
  </si>
  <si>
    <t xml:space="preserve">Giấy A4 (ram)</t>
  </si>
  <si>
    <t xml:space="preserve">Điện thoại Samsung A55</t>
  </si>
  <si>
    <t xml:space="preserve">BÀI TẬP VLOOKUP</t>
  </si>
  <si>
    <t xml:space="preserve">Cú pháp: =VLOOKUP(giá_trị_tìm, bảng_tìm, cột_thứ_mấy, FALSE/TRUE)   •   Ô màu VÀNG là chỗ bạn gõ công thức</t>
  </si>
  <si>
    <t xml:space="preserve">Phần 1 (Cơ bản): Tra Tên SP và Đơn giá từ DanhMuc!A2:D9, rồi tính Thành tiền = Số lượng × Đơn giá</t>
  </si>
  <si>
    <t xml:space="preserve">STT</t>
  </si>
  <si>
    <t xml:space="preserve">Kiểm tra</t>
  </si>
  <si>
    <t xml:space="preserve">Ví dụ</t>
  </si>
  <si>
    <t xml:space="preserve">← mẫu, bấm vào ô để xem</t>
  </si>
  <si>
    <t xml:space="preserve">Phần 2 (Trung bình): Tra Tên NV và Chi nhánh từ DanhMuc!F2:H6. Mã không có → dùng IFERROR hiện "Không tìm thấy"</t>
  </si>
  <si>
    <t xml:space="preserve">← mẫu</t>
  </si>
  <si>
    <t xml:space="preserve">NV09</t>
  </si>
  <si>
    <t xml:space="preserve">Phần 3 (Nâng cao): Tra % thưởng theo doanh số từ DanhMuc!J2:K5 (dò GẦN ĐÚNG → tham số cuối là TRUE), rồi tính Tiền thưởng</t>
  </si>
  <si>
    <t xml:space="preserve">Doanh số</t>
  </si>
  <si>
    <t xml:space="preserve">Tiền thưởng</t>
  </si>
  <si>
    <t xml:space="preserve">BÀI TẬP SUMIFS</t>
  </si>
  <si>
    <t xml:space="preserve">Cú pháp: =SUMIFS(vùng_tính_tổng, vùng_đk1, đk1, vùng_đk2, đk2, …)   •   Dữ liệu ở sheet DuLieu (dòng 2–51)   •   Ô VÀNG là chỗ bạn gõ công thức</t>
  </si>
  <si>
    <t xml:space="preserve">Câu</t>
  </si>
  <si>
    <t xml:space="preserve">Mức độ</t>
  </si>
  <si>
    <t xml:space="preserve">Câu hỏi</t>
  </si>
  <si>
    <t xml:space="preserve">Gợi ý</t>
  </si>
  <si>
    <t xml:space="preserve">Đáp án của bạn</t>
  </si>
  <si>
    <t xml:space="preserve">Mẫu</t>
  </si>
  <si>
    <t xml:space="preserve">Tổng thành tiền của nhân viên Nguyễn Văn An?</t>
  </si>
  <si>
    <t xml:space="preserve">Vùng tổng = cột I; vùng đk = cột C</t>
  </si>
  <si>
    <t xml:space="preserve">Cơ bản</t>
  </si>
  <si>
    <t xml:space="preserve">Tổng thành tiền của khu vực Hà Nội?</t>
  </si>
  <si>
    <t xml:space="preserve">1 điều kiện: cột Khu vực = "Hà Nội"</t>
  </si>
  <si>
    <t xml:space="preserve">Tổng SỐ LƯỢNG đã bán của sản phẩm SP02?</t>
  </si>
  <si>
    <t xml:space="preserve">Vùng tính tổng là cột Số lượng (G)</t>
  </si>
  <si>
    <t xml:space="preserve">Tổng thành tiền nhóm hàng Điện tử?</t>
  </si>
  <si>
    <t xml:space="preserve">Điều kiện trên cột Nhóm hàng (F)</t>
  </si>
  <si>
    <t xml:space="preserve">Trung bình</t>
  </si>
  <si>
    <t xml:space="preserve">Tổng thành tiền của Trần Thị Bình, nhóm Phụ kiện?</t>
  </si>
  <si>
    <t xml:space="preserve">2 điều kiện: Nhân viên + Nhóm hàng</t>
  </si>
  <si>
    <t xml:space="preserve">Tổng thành tiền các đơn có số lượng từ 5 trở lên?</t>
  </si>
  <si>
    <t xml:space="preserve">Điều kiện so sánh viết trong ngoặc kép: "&gt;=5"</t>
  </si>
  <si>
    <t xml:space="preserve">Nâng cao</t>
  </si>
  <si>
    <t xml:space="preserve">Tổng thành tiền trong tháng 2/2026?</t>
  </si>
  <si>
    <t xml:space="preserve">2 điều kiện trên CÙNG cột Ngày: "&gt;="&amp;DATE(2026,2,1) và "&lt;"&amp;DATE(2026,3,1)</t>
  </si>
  <si>
    <t xml:space="preserve">Tổng thành tiền khu vực TP.HCM, nhóm Văn phòng, trong tháng 3/2026?</t>
  </si>
  <si>
    <t xml:space="preserve">4 cặp điều kiện</t>
  </si>
  <si>
    <t xml:space="preserve">Bảng tổng hợp: Doanh thu theo Khu vực × Nhóm hàng</t>
  </si>
  <si>
    <t xml:space="preserve">Mẹo: gõ công thức ở ô đầu tiên với $ đúng chỗ (VD $A… và …$17) rồi kéo sang phải và xuống dưới.</t>
  </si>
  <si>
    <t xml:space="preserve">Kiểm tra bảng:</t>
  </si>
  <si>
    <t xml:space="preserve">BÀI TẬP COUNTIFS</t>
  </si>
  <si>
    <t xml:space="preserve">Cú pháp: =COUNTIFS(vùng_đk1, đk1, vùng_đk2, đk2, …)   •   Dữ liệu ở sheet DuLieu (dòng 2–51)   •   Ô VÀNG là chỗ bạn gõ công thức</t>
  </si>
  <si>
    <t xml:space="preserve">Có bao nhiêu đơn ở khu vực Hà Nội?</t>
  </si>
  <si>
    <t xml:space="preserve">Đếm số dòng thỏa điều kiện</t>
  </si>
  <si>
    <t xml:space="preserve">Có bao nhiêu đơn hàng ở khu vực Đà Nẵng?</t>
  </si>
  <si>
    <t xml:space="preserve">COUNTIFS không có vùng tính tổng, chỉ có cặp vùng–điều kiện</t>
  </si>
  <si>
    <t xml:space="preserve">Có bao nhiêu đơn bán sản phẩm SP01?</t>
  </si>
  <si>
    <t xml:space="preserve">Điều kiện trên cột Mã SP (E)</t>
  </si>
  <si>
    <t xml:space="preserve">Có bao nhiêu đơn có số lượng lớn hơn 3?</t>
  </si>
  <si>
    <t xml:space="preserve">"&gt;3"</t>
  </si>
  <si>
    <t xml:space="preserve">Số đơn của Lê Hoàng Cường thuộc nhóm Điện tử?</t>
  </si>
  <si>
    <t xml:space="preserve">2 điều kiện</t>
  </si>
  <si>
    <t xml:space="preserve">Số đơn trong tháng 1/2026?</t>
  </si>
  <si>
    <t xml:space="preserve">Ngày &gt;= 1/1/2026 và &lt; 1/2/2026</t>
  </si>
  <si>
    <t xml:space="preserve">Số đơn có thành tiền từ 5.000.000 đến 20.000.000?</t>
  </si>
  <si>
    <t xml:space="preserve">2 điều kiện trên cùng cột I: "&gt;=5000000" và "&lt;=20000000"</t>
  </si>
  <si>
    <t xml:space="preserve">Số đơn do nhân viên có chữ "Thị" trong tên bán?</t>
  </si>
  <si>
    <t xml:space="preserve">Ký tự đại diện: "*Thị*"</t>
  </si>
  <si>
    <t xml:space="preserve">Bảng tổng hợp: Số đơn theo Nhân viên × Nhóm hàng</t>
  </si>
  <si>
    <t xml:space="preserve">ĐÁP ÁN — chỉ mở khi đã tự làm xong!</t>
  </si>
  <si>
    <t xml:space="preserve">Cột C là công thức mẫu (gõ trong sheet bài tập), cột D là kết quả đúng.</t>
  </si>
  <si>
    <t xml:space="preserve">Phần</t>
  </si>
  <si>
    <t xml:space="preserve">Câu / Ô</t>
  </si>
  <si>
    <t xml:space="preserve">Công thức mẫu</t>
  </si>
  <si>
    <t xml:space="preserve">Kết quả</t>
  </si>
  <si>
    <t xml:space="preserve">VLOOKUP P1</t>
  </si>
  <si>
    <t xml:space="preserve">Câu 1 – Tên SP (D7)</t>
  </si>
  <si>
    <t xml:space="preserve">=VLOOKUP(B7,DanhMuc!$A$2:$D$9,2,FALSE)</t>
  </si>
  <si>
    <t xml:space="preserve">Câu 1 – Đơn giá (E7)</t>
  </si>
  <si>
    <t xml:space="preserve">=VLOOKUP(B7,DanhMuc!$A$2:$D$9,4,FALSE)</t>
  </si>
  <si>
    <t xml:space="preserve">Câu 1 – Thành tiền (F7)</t>
  </si>
  <si>
    <t xml:space="preserve">=C7*VLOOKUP(B7,DanhMuc!$A$2:$D$9,4,FALSE)</t>
  </si>
  <si>
    <t xml:space="preserve">Câu 2 – Tên SP (D8)</t>
  </si>
  <si>
    <t xml:space="preserve">=VLOOKUP(B8,DanhMuc!$A$2:$D$9,2,FALSE)</t>
  </si>
  <si>
    <t xml:space="preserve">Câu 2 – Đơn giá (E8)</t>
  </si>
  <si>
    <t xml:space="preserve">=VLOOKUP(B8,DanhMuc!$A$2:$D$9,4,FALSE)</t>
  </si>
  <si>
    <t xml:space="preserve">Câu 2 – Thành tiền (F8)</t>
  </si>
  <si>
    <t xml:space="preserve">=C8*VLOOKUP(B8,DanhMuc!$A$2:$D$9,4,FALSE)</t>
  </si>
  <si>
    <t xml:space="preserve">Câu 3 – Tên SP (D9)</t>
  </si>
  <si>
    <t xml:space="preserve">=VLOOKUP(B9,DanhMuc!$A$2:$D$9,2,FALSE)</t>
  </si>
  <si>
    <t xml:space="preserve">Câu 3 – Đơn giá (E9)</t>
  </si>
  <si>
    <t xml:space="preserve">=VLOOKUP(B9,DanhMuc!$A$2:$D$9,4,FALSE)</t>
  </si>
  <si>
    <t xml:space="preserve">Câu 3 – Thành tiền (F9)</t>
  </si>
  <si>
    <t xml:space="preserve">=C9*VLOOKUP(B9,DanhMuc!$A$2:$D$9,4,FALSE)</t>
  </si>
  <si>
    <t xml:space="preserve">Câu 4 – Tên SP (D10)</t>
  </si>
  <si>
    <t xml:space="preserve">=VLOOKUP(B10,DanhMuc!$A$2:$D$9,2,FALSE)</t>
  </si>
  <si>
    <t xml:space="preserve">Câu 4 – Đơn giá (E10)</t>
  </si>
  <si>
    <t xml:space="preserve">=VLOOKUP(B10,DanhMuc!$A$2:$D$9,4,FALSE)</t>
  </si>
  <si>
    <t xml:space="preserve">Câu 4 – Thành tiền (F10)</t>
  </si>
  <si>
    <t xml:space="preserve">=C10*VLOOKUP(B10,DanhMuc!$A$2:$D$9,4,FALSE)</t>
  </si>
  <si>
    <t xml:space="preserve">Câu 5 – Tên SP (D11)</t>
  </si>
  <si>
    <t xml:space="preserve">=VLOOKUP(B11,DanhMuc!$A$2:$D$9,2,FALSE)</t>
  </si>
  <si>
    <t xml:space="preserve">Câu 5 – Đơn giá (E11)</t>
  </si>
  <si>
    <t xml:space="preserve">=VLOOKUP(B11,DanhMuc!$A$2:$D$9,4,FALSE)</t>
  </si>
  <si>
    <t xml:space="preserve">Câu 5 – Thành tiền (F11)</t>
  </si>
  <si>
    <t xml:space="preserve">=C11*VLOOKUP(B11,DanhMuc!$A$2:$D$9,4,FALSE)</t>
  </si>
  <si>
    <t xml:space="preserve">Câu 6 – Tên SP (D12)</t>
  </si>
  <si>
    <t xml:space="preserve">=VLOOKUP(B12,DanhMuc!$A$2:$D$9,2,FALSE)</t>
  </si>
  <si>
    <t xml:space="preserve">Câu 6 – Đơn giá (E12)</t>
  </si>
  <si>
    <t xml:space="preserve">=VLOOKUP(B12,DanhMuc!$A$2:$D$9,4,FALSE)</t>
  </si>
  <si>
    <t xml:space="preserve">Câu 6 – Thành tiền (F12)</t>
  </si>
  <si>
    <t xml:space="preserve">=C12*VLOOKUP(B12,DanhMuc!$A$2:$D$9,4,FALSE)</t>
  </si>
  <si>
    <t xml:space="preserve">Câu 7 – Tên SP (D13)</t>
  </si>
  <si>
    <t xml:space="preserve">=VLOOKUP(B13,DanhMuc!$A$2:$D$9,2,FALSE)</t>
  </si>
  <si>
    <t xml:space="preserve">Câu 7 – Đơn giá (E13)</t>
  </si>
  <si>
    <t xml:space="preserve">=VLOOKUP(B13,DanhMuc!$A$2:$D$9,4,FALSE)</t>
  </si>
  <si>
    <t xml:space="preserve">Câu 7 – Thành tiền (F13)</t>
  </si>
  <si>
    <t xml:space="preserve">=C13*VLOOKUP(B13,DanhMuc!$A$2:$D$9,4,FALSE)</t>
  </si>
  <si>
    <t xml:space="preserve">VLOOKUP P2</t>
  </si>
  <si>
    <t xml:space="preserve">Câu 1 – Tên NV (C19)</t>
  </si>
  <si>
    <t xml:space="preserve">=IFERROR(VLOOKUP(B19,DanhMuc!$F$2:$H$6,2,FALSE),"Không tìm thấy")</t>
  </si>
  <si>
    <t xml:space="preserve">Câu 1 – Chi nhánh (D19)</t>
  </si>
  <si>
    <t xml:space="preserve">=IFERROR(VLOOKUP(B19,DanhMuc!$F$2:$H$6,3,FALSE),"Không tìm thấy")</t>
  </si>
  <si>
    <t xml:space="preserve">Câu 2 – Tên NV (C20)</t>
  </si>
  <si>
    <t xml:space="preserve">=IFERROR(VLOOKUP(B20,DanhMuc!$F$2:$H$6,2,FALSE),"Không tìm thấy")</t>
  </si>
  <si>
    <t xml:space="preserve">Câu 2 – Chi nhánh (D20)</t>
  </si>
  <si>
    <t xml:space="preserve">=IFERROR(VLOOKUP(B20,DanhMuc!$F$2:$H$6,3,FALSE),"Không tìm thấy")</t>
  </si>
  <si>
    <t xml:space="preserve">Câu 3 – Tên NV (C21)</t>
  </si>
  <si>
    <t xml:space="preserve">=IFERROR(VLOOKUP(B21,DanhMuc!$F$2:$H$6,2,FALSE),"Không tìm thấy")</t>
  </si>
  <si>
    <t xml:space="preserve">Câu 3 – Chi nhánh (D21)</t>
  </si>
  <si>
    <t xml:space="preserve">=IFERROR(VLOOKUP(B21,DanhMuc!$F$2:$H$6,3,FALSE),"Không tìm thấy")</t>
  </si>
  <si>
    <t xml:space="preserve">Câu 4 – Tên NV (C22)</t>
  </si>
  <si>
    <t xml:space="preserve">=IFERROR(VLOOKUP(B22,DanhMuc!$F$2:$H$6,2,FALSE),"Không tìm thấy")</t>
  </si>
  <si>
    <t xml:space="preserve">Câu 4 – Chi nhánh (D22)</t>
  </si>
  <si>
    <t xml:space="preserve">=IFERROR(VLOOKUP(B22,DanhMuc!$F$2:$H$6,3,FALSE),"Không tìm thấy")</t>
  </si>
  <si>
    <t xml:space="preserve">Câu 5 – Tên NV (C23)</t>
  </si>
  <si>
    <t xml:space="preserve">=IFERROR(VLOOKUP(B23,DanhMuc!$F$2:$H$6,2,FALSE),"Không tìm thấy")</t>
  </si>
  <si>
    <t xml:space="preserve">Câu 5 – Chi nhánh (D23)</t>
  </si>
  <si>
    <t xml:space="preserve">=IFERROR(VLOOKUP(B23,DanhMuc!$F$2:$H$6,3,FALSE),"Không tìm thấy")</t>
  </si>
  <si>
    <t xml:space="preserve">VLOOKUP P3</t>
  </si>
  <si>
    <t xml:space="preserve">Câu 1 – % thưởng (C29)</t>
  </si>
  <si>
    <t xml:space="preserve">=VLOOKUP(B29,DanhMuc!$J$2:$K$5,2,TRUE)</t>
  </si>
  <si>
    <t xml:space="preserve">Câu 1 – Tiền thưởng (D29)</t>
  </si>
  <si>
    <t xml:space="preserve">=B29*VLOOKUP(B29,DanhMuc!$J$2:$K$5,2,TRUE)</t>
  </si>
  <si>
    <t xml:space="preserve">Câu 2 – % thưởng (C30)</t>
  </si>
  <si>
    <t xml:space="preserve">=VLOOKUP(B30,DanhMuc!$J$2:$K$5,2,TRUE)</t>
  </si>
  <si>
    <t xml:space="preserve">Câu 2 – Tiền thưởng (D30)</t>
  </si>
  <si>
    <t xml:space="preserve">=B30*VLOOKUP(B30,DanhMuc!$J$2:$K$5,2,TRUE)</t>
  </si>
  <si>
    <t xml:space="preserve">Câu 3 – % thưởng (C31)</t>
  </si>
  <si>
    <t xml:space="preserve">=VLOOKUP(B31,DanhMuc!$J$2:$K$5,2,TRUE)</t>
  </si>
  <si>
    <t xml:space="preserve">Câu 3 – Tiền thưởng (D31)</t>
  </si>
  <si>
    <t xml:space="preserve">=B31*VLOOKUP(B31,DanhMuc!$J$2:$K$5,2,TRUE)</t>
  </si>
  <si>
    <t xml:space="preserve">Câu 4 – % thưởng (C32)</t>
  </si>
  <si>
    <t xml:space="preserve">=VLOOKUP(B32,DanhMuc!$J$2:$K$5,2,TRUE)</t>
  </si>
  <si>
    <t xml:space="preserve">Câu 4 – Tiền thưởng (D32)</t>
  </si>
  <si>
    <t xml:space="preserve">=B32*VLOOKUP(B32,DanhMuc!$J$2:$K$5,2,TRUE)</t>
  </si>
  <si>
    <t xml:space="preserve">Câu 5 – % thưởng (C33)</t>
  </si>
  <si>
    <t xml:space="preserve">=VLOOKUP(B33,DanhMuc!$J$2:$K$5,2,TRUE)</t>
  </si>
  <si>
    <t xml:space="preserve">Câu 5 – Tiền thưởng (D33)</t>
  </si>
  <si>
    <t xml:space="preserve">=B33*VLOOKUP(B33,DanhMuc!$J$2:$K$5,2,TRUE)</t>
  </si>
  <si>
    <t xml:space="preserve">Câu 1</t>
  </si>
  <si>
    <t xml:space="preserve">=SUMIFS(DuLieu!$I$2:$I$51,DuLieu!$D$2:$D$51,"Hà Nội")</t>
  </si>
  <si>
    <t xml:space="preserve">Câu 2</t>
  </si>
  <si>
    <t xml:space="preserve">=SUMIFS(DuLieu!$G$2:$G$51,DuLieu!$E$2:$E$51,"SP02")</t>
  </si>
  <si>
    <t xml:space="preserve">Câu 3</t>
  </si>
  <si>
    <t xml:space="preserve">=SUMIFS(DuLieu!$I$2:$I$51,DuLieu!$F$2:$F$51,"Điện tử")</t>
  </si>
  <si>
    <t xml:space="preserve">Câu 4</t>
  </si>
  <si>
    <t xml:space="preserve">=SUMIFS(DuLieu!$I$2:$I$51,DuLieu!$C$2:$C$51,"Trần Thị Bình",DuLieu!$F$2:$F$51,"Phụ kiện")</t>
  </si>
  <si>
    <t xml:space="preserve">Câu 5</t>
  </si>
  <si>
    <t xml:space="preserve">=SUMIFS(DuLieu!$I$2:$I$51,DuLieu!$G$2:$G$51,"&gt;=5")</t>
  </si>
  <si>
    <t xml:space="preserve">Câu 6</t>
  </si>
  <si>
    <t xml:space="preserve">=SUMIFS(DuLieu!$I$2:$I$51,DuLieu!$B$2:$B$51,"&gt;="&amp;DATE(2026,2,1),DuLieu!$B$2:$B$51,"&lt;"&amp;DATE(2026,3,1))</t>
  </si>
  <si>
    <t xml:space="preserve">Câu 7</t>
  </si>
  <si>
    <t xml:space="preserve">=SUMIFS(DuLieu!$I$2:$I$51,DuLieu!$D$2:$D$51,"TP.HCM",DuLieu!$F$2:$F$51,"Văn phòng",DuLieu!$B$2:$B$51,"&gt;="&amp;DATE(2026,3,1),DuLieu!$B$2:$B$51,"&lt;"&amp;DATE(2026,4,1))</t>
  </si>
  <si>
    <t xml:space="preserve">SUMIFS bảng</t>
  </si>
  <si>
    <t xml:space="preserve">Ô B18</t>
  </si>
  <si>
    <t xml:space="preserve">=SUMIFS(DuLieu!$I$2:$I$51,DuLieu!$D$2:$D$51,$A18,DuLieu!$F$2:$F$51,B$17)</t>
  </si>
  <si>
    <t xml:space="preserve">Ô C18</t>
  </si>
  <si>
    <t xml:space="preserve">=SUMIFS(DuLieu!$I$2:$I$51,DuLieu!$D$2:$D$51,$A18,DuLieu!$F$2:$F$51,C$17)</t>
  </si>
  <si>
    <t xml:space="preserve">Ô D18</t>
  </si>
  <si>
    <t xml:space="preserve">=SUMIFS(DuLieu!$I$2:$I$51,DuLieu!$D$2:$D$51,$A18,DuLieu!$F$2:$F$51,D$17)</t>
  </si>
  <si>
    <t xml:space="preserve">Ô B19</t>
  </si>
  <si>
    <t xml:space="preserve">=SUMIFS(DuLieu!$I$2:$I$51,DuLieu!$D$2:$D$51,$A19,DuLieu!$F$2:$F$51,B$17)</t>
  </si>
  <si>
    <t xml:space="preserve">Ô C19</t>
  </si>
  <si>
    <t xml:space="preserve">=SUMIFS(DuLieu!$I$2:$I$51,DuLieu!$D$2:$D$51,$A19,DuLieu!$F$2:$F$51,C$17)</t>
  </si>
  <si>
    <t xml:space="preserve">Ô D19</t>
  </si>
  <si>
    <t xml:space="preserve">=SUMIFS(DuLieu!$I$2:$I$51,DuLieu!$D$2:$D$51,$A19,DuLieu!$F$2:$F$51,D$17)</t>
  </si>
  <si>
    <t xml:space="preserve">Ô B20</t>
  </si>
  <si>
    <t xml:space="preserve">=SUMIFS(DuLieu!$I$2:$I$51,DuLieu!$D$2:$D$51,$A20,DuLieu!$F$2:$F$51,B$17)</t>
  </si>
  <si>
    <t xml:space="preserve">Ô C20</t>
  </si>
  <si>
    <t xml:space="preserve">=SUMIFS(DuLieu!$I$2:$I$51,DuLieu!$D$2:$D$51,$A20,DuLieu!$F$2:$F$51,C$17)</t>
  </si>
  <si>
    <t xml:space="preserve">Ô D20</t>
  </si>
  <si>
    <t xml:space="preserve">=SUMIFS(DuLieu!$I$2:$I$51,DuLieu!$D$2:$D$51,$A20,DuLieu!$F$2:$F$51,D$17)</t>
  </si>
  <si>
    <t xml:space="preserve">=COUNTIFS(DuLieu!$D$2:$D$51,"Đà Nẵng")</t>
  </si>
  <si>
    <t xml:space="preserve">=COUNTIFS(DuLieu!$E$2:$E$51,"SP01")</t>
  </si>
  <si>
    <t xml:space="preserve">=COUNTIFS(DuLieu!$G$2:$G$51,"&gt;3")</t>
  </si>
  <si>
    <t xml:space="preserve">=COUNTIFS(DuLieu!$C$2:$C$51,"Lê Hoàng Cường",DuLieu!$F$2:$F$51,"Điện tử")</t>
  </si>
  <si>
    <t xml:space="preserve">=COUNTIFS(DuLieu!$B$2:$B$51,"&gt;="&amp;DATE(2026,1,1),DuLieu!$B$2:$B$51,"&lt;"&amp;DATE(2026,2,1))</t>
  </si>
  <si>
    <t xml:space="preserve">=COUNTIFS(DuLieu!$I$2:$I$51,"&gt;=5000000",DuLieu!$I$2:$I$51,"&lt;=20000000")</t>
  </si>
  <si>
    <t xml:space="preserve">=COUNTIFS(DuLieu!$C$2:$C$51,"*Thị*")</t>
  </si>
  <si>
    <t xml:space="preserve">COUNTIFS bảng</t>
  </si>
  <si>
    <t xml:space="preserve">=COUNTIFS(DuLieu!$C$2:$C$51,$A18,DuLieu!$F$2:$F$51,B$17)</t>
  </si>
  <si>
    <t xml:space="preserve">=COUNTIFS(DuLieu!$C$2:$C$51,$A18,DuLieu!$F$2:$F$51,C$17)</t>
  </si>
  <si>
    <t xml:space="preserve">=COUNTIFS(DuLieu!$C$2:$C$51,$A18,DuLieu!$F$2:$F$51,D$17)</t>
  </si>
  <si>
    <t xml:space="preserve">=COUNTIFS(DuLieu!$C$2:$C$51,$A19,DuLieu!$F$2:$F$51,B$17)</t>
  </si>
  <si>
    <t xml:space="preserve">=COUNTIFS(DuLieu!$C$2:$C$51,$A19,DuLieu!$F$2:$F$51,C$17)</t>
  </si>
  <si>
    <t xml:space="preserve">=COUNTIFS(DuLieu!$C$2:$C$51,$A19,DuLieu!$F$2:$F$51,D$17)</t>
  </si>
  <si>
    <t xml:space="preserve">=COUNTIFS(DuLieu!$C$2:$C$51,$A20,DuLieu!$F$2:$F$51,B$17)</t>
  </si>
  <si>
    <t xml:space="preserve">=COUNTIFS(DuLieu!$C$2:$C$51,$A20,DuLieu!$F$2:$F$51,C$17)</t>
  </si>
  <si>
    <t xml:space="preserve">=COUNTIFS(DuLieu!$C$2:$C$51,$A20,DuLieu!$F$2:$F$51,D$17)</t>
  </si>
  <si>
    <t xml:space="preserve">Ô B21</t>
  </si>
  <si>
    <t xml:space="preserve">=COUNTIFS(DuLieu!$C$2:$C$51,$A21,DuLieu!$F$2:$F$51,B$17)</t>
  </si>
  <si>
    <t xml:space="preserve">Ô C21</t>
  </si>
  <si>
    <t xml:space="preserve">=COUNTIFS(DuLieu!$C$2:$C$51,$A21,DuLieu!$F$2:$F$51,C$17)</t>
  </si>
  <si>
    <t xml:space="preserve">Ô D21</t>
  </si>
  <si>
    <t xml:space="preserve">=COUNTIFS(DuLieu!$C$2:$C$51,$A21,DuLieu!$F$2:$F$51,D$17)</t>
  </si>
  <si>
    <t xml:space="preserve">Ô B22</t>
  </si>
  <si>
    <t xml:space="preserve">=COUNTIFS(DuLieu!$C$2:$C$51,$A22,DuLieu!$F$2:$F$51,B$17)</t>
  </si>
  <si>
    <t xml:space="preserve">Ô C22</t>
  </si>
  <si>
    <t xml:space="preserve">=COUNTIFS(DuLieu!$C$2:$C$51,$A22,DuLieu!$F$2:$F$51,C$17)</t>
  </si>
  <si>
    <t xml:space="preserve">Ô D22</t>
  </si>
  <si>
    <t xml:space="preserve">=COUNTIFS(DuLieu!$C$2:$C$51,$A22,DuLieu!$F$2:$F$51,D$17)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</si>
</sst>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1F4E78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F2A8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30" hidden="false" customHeight="true" outlineLevel="0" collapsed="false">
      <c r="A10" s="5" t="s">
        <v>7</v>
      </c>
      <c r="B10" s="6" t="s">
        <v>8</v>
      </c>
    </row>
    <row r="11" customFormat="false" ht="30" hidden="false" customHeight="true" outlineLevel="0" collapsed="false">
      <c r="A11" s="5" t="s">
        <v>9</v>
      </c>
      <c r="B11" s="6" t="s">
        <v>10</v>
      </c>
    </row>
    <row r="12" customFormat="false" ht="30" hidden="false" customHeight="true" outlineLevel="0" collapsed="false">
      <c r="A12" s="5" t="s">
        <v>11</v>
      </c>
      <c r="B12" s="6" t="s">
        <v>12</v>
      </c>
    </row>
    <row r="13" customFormat="false" ht="30" hidden="false" customHeight="true" outlineLevel="0" collapsed="false">
      <c r="A13" s="5" t="s">
        <v>13</v>
      </c>
      <c r="B13" s="6" t="s">
        <v>14</v>
      </c>
    </row>
    <row r="14" customFormat="false" ht="30" hidden="false" customHeight="true" outlineLevel="0" collapsed="false">
      <c r="A14" s="5" t="s">
        <v>15</v>
      </c>
      <c r="B14" s="6" t="s">
        <v>16</v>
      </c>
    </row>
    <row r="15" customFormat="false" ht="30" hidden="false" customHeight="true" outlineLevel="0" collapsed="false">
      <c r="A15" s="5" t="s">
        <v>17</v>
      </c>
      <c r="B15" s="6" t="s">
        <v>18</v>
      </c>
    </row>
    <row r="16" customFormat="false" ht="30" hidden="false" customHeight="true" outlineLevel="0" collapsed="false">
      <c r="A16" s="5" t="s">
        <v>19</v>
      </c>
      <c r="B16" s="6" t="s">
        <v>20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7" t="s">
        <v>22</v>
      </c>
      <c r="B19" s="7" t="s">
        <v>23</v>
      </c>
    </row>
    <row r="20" customFormat="false" ht="15" hidden="false" customHeight="false" outlineLevel="0" collapsed="false">
      <c r="A20" s="5" t="s">
        <v>7</v>
      </c>
      <c r="B20" s="8" t="str">
        <f aca="false">COUNTIF(BT_VLOOKUP!G7:G13,"✔*")+COUNTIF(BT_VLOOKUP!E19:E23,"✔*")+COUNTIF(BT_VLOOKUP!E29:E33,"✔*")&amp;" / 17"</f>
        <v>0 / 17</v>
      </c>
    </row>
    <row r="21" customFormat="false" ht="15" hidden="false" customHeight="false" outlineLevel="0" collapsed="false">
      <c r="A21" s="5" t="s">
        <v>9</v>
      </c>
      <c r="B21" s="8" t="str">
        <f aca="false">COUNTIF(BT_SUMIFS!F6:F12,"✔*")+IF(LEFT(BT_SUMIFS!B21,1)="✔",1,0)&amp;" / 8"</f>
        <v>0 / 8</v>
      </c>
    </row>
    <row r="22" customFormat="false" ht="15" hidden="false" customHeight="false" outlineLevel="0" collapsed="false">
      <c r="A22" s="5" t="s">
        <v>11</v>
      </c>
      <c r="B22" s="8" t="str">
        <f aca="false">COUNTIF(BT_COUNTIFS!F6:F12,"✔*")+IF(LEFT(BT_COUNTIFS!B23,1)="✔",1,0)&amp;" / 8"</f>
        <v>0 / 8</v>
      </c>
    </row>
    <row r="23" customFormat="false" ht="15" hidden="false" customHeight="false" outlineLevel="0" collapsed="false">
      <c r="A23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</row>
    <row r="2" customFormat="false" ht="15" hidden="false" customHeight="false" outlineLevel="0" collapsed="false">
      <c r="A2" s="10" t="s">
        <v>34</v>
      </c>
      <c r="B2" s="11" t="n">
        <v>46023</v>
      </c>
      <c r="C2" s="6" t="s">
        <v>35</v>
      </c>
      <c r="D2" s="10" t="s">
        <v>36</v>
      </c>
      <c r="E2" s="10" t="s">
        <v>37</v>
      </c>
      <c r="F2" s="6" t="s">
        <v>38</v>
      </c>
      <c r="G2" s="12" t="n">
        <v>3</v>
      </c>
      <c r="H2" s="13" t="n">
        <v>2100000</v>
      </c>
      <c r="I2" s="13" t="n">
        <v>6300000</v>
      </c>
    </row>
    <row r="3" customFormat="false" ht="15" hidden="false" customHeight="false" outlineLevel="0" collapsed="false">
      <c r="A3" s="10" t="s">
        <v>39</v>
      </c>
      <c r="B3" s="11" t="n">
        <v>46026</v>
      </c>
      <c r="C3" s="6" t="s">
        <v>40</v>
      </c>
      <c r="D3" s="10" t="s">
        <v>41</v>
      </c>
      <c r="E3" s="10" t="s">
        <v>42</v>
      </c>
      <c r="F3" s="6" t="s">
        <v>43</v>
      </c>
      <c r="G3" s="12" t="n">
        <v>2</v>
      </c>
      <c r="H3" s="13" t="n">
        <v>4500000</v>
      </c>
      <c r="I3" s="13" t="n">
        <v>9000000</v>
      </c>
    </row>
    <row r="4" customFormat="false" ht="15" hidden="false" customHeight="false" outlineLevel="0" collapsed="false">
      <c r="A4" s="10" t="s">
        <v>44</v>
      </c>
      <c r="B4" s="11" t="n">
        <v>46028</v>
      </c>
      <c r="C4" s="6" t="s">
        <v>45</v>
      </c>
      <c r="D4" s="10" t="s">
        <v>46</v>
      </c>
      <c r="E4" s="10" t="s">
        <v>47</v>
      </c>
      <c r="F4" s="6" t="s">
        <v>48</v>
      </c>
      <c r="G4" s="12" t="n">
        <v>3</v>
      </c>
      <c r="H4" s="13" t="n">
        <v>15500000</v>
      </c>
      <c r="I4" s="13" t="n">
        <v>46500000</v>
      </c>
    </row>
    <row r="5" customFormat="false" ht="15" hidden="false" customHeight="false" outlineLevel="0" collapsed="false">
      <c r="A5" s="10" t="s">
        <v>49</v>
      </c>
      <c r="B5" s="11" t="n">
        <v>46029</v>
      </c>
      <c r="C5" s="6" t="s">
        <v>40</v>
      </c>
      <c r="D5" s="10" t="s">
        <v>41</v>
      </c>
      <c r="E5" s="10" t="s">
        <v>42</v>
      </c>
      <c r="F5" s="6" t="s">
        <v>43</v>
      </c>
      <c r="G5" s="12" t="n">
        <v>2</v>
      </c>
      <c r="H5" s="13" t="n">
        <v>4500000</v>
      </c>
      <c r="I5" s="13" t="n">
        <v>9000000</v>
      </c>
    </row>
    <row r="6" customFormat="false" ht="15" hidden="false" customHeight="false" outlineLevel="0" collapsed="false">
      <c r="A6" s="10" t="s">
        <v>50</v>
      </c>
      <c r="B6" s="11" t="n">
        <v>46030</v>
      </c>
      <c r="C6" s="6" t="s">
        <v>51</v>
      </c>
      <c r="D6" s="10" t="s">
        <v>41</v>
      </c>
      <c r="E6" s="10" t="s">
        <v>52</v>
      </c>
      <c r="F6" s="6" t="s">
        <v>38</v>
      </c>
      <c r="G6" s="12" t="n">
        <v>4</v>
      </c>
      <c r="H6" s="13" t="n">
        <v>350000</v>
      </c>
      <c r="I6" s="13" t="n">
        <v>1400000</v>
      </c>
    </row>
    <row r="7" customFormat="false" ht="15" hidden="false" customHeight="false" outlineLevel="0" collapsed="false">
      <c r="A7" s="10" t="s">
        <v>53</v>
      </c>
      <c r="B7" s="11" t="n">
        <v>46033</v>
      </c>
      <c r="C7" s="6" t="s">
        <v>45</v>
      </c>
      <c r="D7" s="10" t="s">
        <v>46</v>
      </c>
      <c r="E7" s="10" t="s">
        <v>54</v>
      </c>
      <c r="F7" s="6" t="s">
        <v>38</v>
      </c>
      <c r="G7" s="12" t="n">
        <v>5</v>
      </c>
      <c r="H7" s="13" t="n">
        <v>1200000</v>
      </c>
      <c r="I7" s="13" t="n">
        <v>6000000</v>
      </c>
    </row>
    <row r="8" customFormat="false" ht="15" hidden="false" customHeight="false" outlineLevel="0" collapsed="false">
      <c r="A8" s="10" t="s">
        <v>55</v>
      </c>
      <c r="B8" s="11" t="n">
        <v>46033</v>
      </c>
      <c r="C8" s="6" t="s">
        <v>51</v>
      </c>
      <c r="D8" s="10" t="s">
        <v>41</v>
      </c>
      <c r="E8" s="10" t="s">
        <v>56</v>
      </c>
      <c r="F8" s="6" t="s">
        <v>43</v>
      </c>
      <c r="G8" s="12" t="n">
        <v>10</v>
      </c>
      <c r="H8" s="13" t="n">
        <v>75000</v>
      </c>
      <c r="I8" s="13" t="n">
        <v>750000</v>
      </c>
    </row>
    <row r="9" customFormat="false" ht="15" hidden="false" customHeight="false" outlineLevel="0" collapsed="false">
      <c r="A9" s="10" t="s">
        <v>57</v>
      </c>
      <c r="B9" s="11" t="n">
        <v>46033</v>
      </c>
      <c r="C9" s="6" t="s">
        <v>45</v>
      </c>
      <c r="D9" s="10" t="s">
        <v>46</v>
      </c>
      <c r="E9" s="10" t="s">
        <v>58</v>
      </c>
      <c r="F9" s="6" t="s">
        <v>48</v>
      </c>
      <c r="G9" s="12" t="n">
        <v>3</v>
      </c>
      <c r="H9" s="13" t="n">
        <v>3800000</v>
      </c>
      <c r="I9" s="13" t="n">
        <v>11400000</v>
      </c>
    </row>
    <row r="10" customFormat="false" ht="15" hidden="false" customHeight="false" outlineLevel="0" collapsed="false">
      <c r="A10" s="10" t="s">
        <v>59</v>
      </c>
      <c r="B10" s="11" t="n">
        <v>46035</v>
      </c>
      <c r="C10" s="6" t="s">
        <v>40</v>
      </c>
      <c r="D10" s="10" t="s">
        <v>41</v>
      </c>
      <c r="E10" s="10" t="s">
        <v>52</v>
      </c>
      <c r="F10" s="6" t="s">
        <v>38</v>
      </c>
      <c r="G10" s="12" t="n">
        <v>6</v>
      </c>
      <c r="H10" s="13" t="n">
        <v>350000</v>
      </c>
      <c r="I10" s="13" t="n">
        <v>2100000</v>
      </c>
    </row>
    <row r="11" customFormat="false" ht="15" hidden="false" customHeight="false" outlineLevel="0" collapsed="false">
      <c r="A11" s="10" t="s">
        <v>60</v>
      </c>
      <c r="B11" s="11" t="n">
        <v>46036</v>
      </c>
      <c r="C11" s="6" t="s">
        <v>51</v>
      </c>
      <c r="D11" s="10" t="s">
        <v>41</v>
      </c>
      <c r="E11" s="10" t="s">
        <v>56</v>
      </c>
      <c r="F11" s="6" t="s">
        <v>43</v>
      </c>
      <c r="G11" s="12" t="n">
        <v>20</v>
      </c>
      <c r="H11" s="13" t="n">
        <v>75000</v>
      </c>
      <c r="I11" s="13" t="n">
        <v>1500000</v>
      </c>
    </row>
    <row r="12" customFormat="false" ht="15" hidden="false" customHeight="false" outlineLevel="0" collapsed="false">
      <c r="A12" s="10" t="s">
        <v>61</v>
      </c>
      <c r="B12" s="11" t="n">
        <v>46036</v>
      </c>
      <c r="C12" s="6" t="s">
        <v>45</v>
      </c>
      <c r="D12" s="10" t="s">
        <v>46</v>
      </c>
      <c r="E12" s="10" t="s">
        <v>52</v>
      </c>
      <c r="F12" s="6" t="s">
        <v>38</v>
      </c>
      <c r="G12" s="12" t="n">
        <v>6</v>
      </c>
      <c r="H12" s="13" t="n">
        <v>350000</v>
      </c>
      <c r="I12" s="13" t="n">
        <v>2100000</v>
      </c>
    </row>
    <row r="13" customFormat="false" ht="15" hidden="false" customHeight="false" outlineLevel="0" collapsed="false">
      <c r="A13" s="10" t="s">
        <v>62</v>
      </c>
      <c r="B13" s="11" t="n">
        <v>46037</v>
      </c>
      <c r="C13" s="6" t="s">
        <v>63</v>
      </c>
      <c r="D13" s="10" t="s">
        <v>46</v>
      </c>
      <c r="E13" s="10" t="s">
        <v>64</v>
      </c>
      <c r="F13" s="6" t="s">
        <v>48</v>
      </c>
      <c r="G13" s="12" t="n">
        <v>8</v>
      </c>
      <c r="H13" s="13" t="n">
        <v>9200000</v>
      </c>
      <c r="I13" s="13" t="n">
        <v>73600000</v>
      </c>
    </row>
    <row r="14" customFormat="false" ht="15" hidden="false" customHeight="false" outlineLevel="0" collapsed="false">
      <c r="A14" s="10" t="s">
        <v>65</v>
      </c>
      <c r="B14" s="11" t="n">
        <v>46038</v>
      </c>
      <c r="C14" s="6" t="s">
        <v>40</v>
      </c>
      <c r="D14" s="10" t="s">
        <v>41</v>
      </c>
      <c r="E14" s="10" t="s">
        <v>47</v>
      </c>
      <c r="F14" s="6" t="s">
        <v>48</v>
      </c>
      <c r="G14" s="12" t="n">
        <v>4</v>
      </c>
      <c r="H14" s="13" t="n">
        <v>15500000</v>
      </c>
      <c r="I14" s="13" t="n">
        <v>62000000</v>
      </c>
    </row>
    <row r="15" customFormat="false" ht="15" hidden="false" customHeight="false" outlineLevel="0" collapsed="false">
      <c r="A15" s="10" t="s">
        <v>66</v>
      </c>
      <c r="B15" s="11" t="n">
        <v>46041</v>
      </c>
      <c r="C15" s="6" t="s">
        <v>51</v>
      </c>
      <c r="D15" s="10" t="s">
        <v>41</v>
      </c>
      <c r="E15" s="10" t="s">
        <v>37</v>
      </c>
      <c r="F15" s="6" t="s">
        <v>38</v>
      </c>
      <c r="G15" s="12" t="n">
        <v>2</v>
      </c>
      <c r="H15" s="13" t="n">
        <v>2100000</v>
      </c>
      <c r="I15" s="13" t="n">
        <v>4200000</v>
      </c>
    </row>
    <row r="16" customFormat="false" ht="15" hidden="false" customHeight="false" outlineLevel="0" collapsed="false">
      <c r="A16" s="10" t="s">
        <v>67</v>
      </c>
      <c r="B16" s="11" t="n">
        <v>46042</v>
      </c>
      <c r="C16" s="6" t="s">
        <v>35</v>
      </c>
      <c r="D16" s="10" t="s">
        <v>36</v>
      </c>
      <c r="E16" s="10" t="s">
        <v>54</v>
      </c>
      <c r="F16" s="6" t="s">
        <v>38</v>
      </c>
      <c r="G16" s="12" t="n">
        <v>8</v>
      </c>
      <c r="H16" s="13" t="n">
        <v>1200000</v>
      </c>
      <c r="I16" s="13" t="n">
        <v>9600000</v>
      </c>
    </row>
    <row r="17" customFormat="false" ht="15" hidden="false" customHeight="false" outlineLevel="0" collapsed="false">
      <c r="A17" s="10" t="s">
        <v>68</v>
      </c>
      <c r="B17" s="11" t="n">
        <v>46042</v>
      </c>
      <c r="C17" s="6" t="s">
        <v>40</v>
      </c>
      <c r="D17" s="10" t="s">
        <v>41</v>
      </c>
      <c r="E17" s="10" t="s">
        <v>47</v>
      </c>
      <c r="F17" s="6" t="s">
        <v>48</v>
      </c>
      <c r="G17" s="12" t="n">
        <v>2</v>
      </c>
      <c r="H17" s="13" t="n">
        <v>15500000</v>
      </c>
      <c r="I17" s="13" t="n">
        <v>31000000</v>
      </c>
    </row>
    <row r="18" customFormat="false" ht="15" hidden="false" customHeight="false" outlineLevel="0" collapsed="false">
      <c r="A18" s="10" t="s">
        <v>69</v>
      </c>
      <c r="B18" s="11" t="n">
        <v>46043</v>
      </c>
      <c r="C18" s="6" t="s">
        <v>51</v>
      </c>
      <c r="D18" s="10" t="s">
        <v>41</v>
      </c>
      <c r="E18" s="10" t="s">
        <v>58</v>
      </c>
      <c r="F18" s="6" t="s">
        <v>48</v>
      </c>
      <c r="G18" s="12" t="n">
        <v>2</v>
      </c>
      <c r="H18" s="13" t="n">
        <v>3800000</v>
      </c>
      <c r="I18" s="13" t="n">
        <v>7600000</v>
      </c>
    </row>
    <row r="19" customFormat="false" ht="15" hidden="false" customHeight="false" outlineLevel="0" collapsed="false">
      <c r="A19" s="10" t="s">
        <v>70</v>
      </c>
      <c r="B19" s="11" t="n">
        <v>46047</v>
      </c>
      <c r="C19" s="6" t="s">
        <v>63</v>
      </c>
      <c r="D19" s="10" t="s">
        <v>46</v>
      </c>
      <c r="E19" s="10" t="s">
        <v>56</v>
      </c>
      <c r="F19" s="6" t="s">
        <v>43</v>
      </c>
      <c r="G19" s="12" t="n">
        <v>7</v>
      </c>
      <c r="H19" s="13" t="n">
        <v>75000</v>
      </c>
      <c r="I19" s="13" t="n">
        <v>525000</v>
      </c>
    </row>
    <row r="20" customFormat="false" ht="15" hidden="false" customHeight="false" outlineLevel="0" collapsed="false">
      <c r="A20" s="10" t="s">
        <v>71</v>
      </c>
      <c r="B20" s="11" t="n">
        <v>46049</v>
      </c>
      <c r="C20" s="6" t="s">
        <v>40</v>
      </c>
      <c r="D20" s="10" t="s">
        <v>41</v>
      </c>
      <c r="E20" s="10" t="s">
        <v>47</v>
      </c>
      <c r="F20" s="6" t="s">
        <v>48</v>
      </c>
      <c r="G20" s="12" t="n">
        <v>8</v>
      </c>
      <c r="H20" s="13" t="n">
        <v>15500000</v>
      </c>
      <c r="I20" s="13" t="n">
        <v>124000000</v>
      </c>
    </row>
    <row r="21" customFormat="false" ht="15" hidden="false" customHeight="false" outlineLevel="0" collapsed="false">
      <c r="A21" s="10" t="s">
        <v>72</v>
      </c>
      <c r="B21" s="11" t="n">
        <v>46050</v>
      </c>
      <c r="C21" s="6" t="s">
        <v>40</v>
      </c>
      <c r="D21" s="10" t="s">
        <v>41</v>
      </c>
      <c r="E21" s="10" t="s">
        <v>47</v>
      </c>
      <c r="F21" s="6" t="s">
        <v>48</v>
      </c>
      <c r="G21" s="12" t="n">
        <v>1</v>
      </c>
      <c r="H21" s="13" t="n">
        <v>15500000</v>
      </c>
      <c r="I21" s="13" t="n">
        <v>15500000</v>
      </c>
    </row>
    <row r="22" customFormat="false" ht="15" hidden="false" customHeight="false" outlineLevel="0" collapsed="false">
      <c r="A22" s="10" t="s">
        <v>73</v>
      </c>
      <c r="B22" s="11" t="n">
        <v>46054</v>
      </c>
      <c r="C22" s="6" t="s">
        <v>45</v>
      </c>
      <c r="D22" s="10" t="s">
        <v>46</v>
      </c>
      <c r="E22" s="10" t="s">
        <v>37</v>
      </c>
      <c r="F22" s="6" t="s">
        <v>38</v>
      </c>
      <c r="G22" s="12" t="n">
        <v>7</v>
      </c>
      <c r="H22" s="13" t="n">
        <v>2100000</v>
      </c>
      <c r="I22" s="13" t="n">
        <v>14700000</v>
      </c>
    </row>
    <row r="23" customFormat="false" ht="15" hidden="false" customHeight="false" outlineLevel="0" collapsed="false">
      <c r="A23" s="10" t="s">
        <v>74</v>
      </c>
      <c r="B23" s="11" t="n">
        <v>46061</v>
      </c>
      <c r="C23" s="6" t="s">
        <v>35</v>
      </c>
      <c r="D23" s="10" t="s">
        <v>36</v>
      </c>
      <c r="E23" s="10" t="s">
        <v>64</v>
      </c>
      <c r="F23" s="6" t="s">
        <v>48</v>
      </c>
      <c r="G23" s="12" t="n">
        <v>4</v>
      </c>
      <c r="H23" s="13" t="n">
        <v>9200000</v>
      </c>
      <c r="I23" s="13" t="n">
        <v>36800000</v>
      </c>
    </row>
    <row r="24" customFormat="false" ht="15" hidden="false" customHeight="false" outlineLevel="0" collapsed="false">
      <c r="A24" s="10" t="s">
        <v>75</v>
      </c>
      <c r="B24" s="11" t="n">
        <v>46068</v>
      </c>
      <c r="C24" s="6" t="s">
        <v>51</v>
      </c>
      <c r="D24" s="10" t="s">
        <v>41</v>
      </c>
      <c r="E24" s="10" t="s">
        <v>47</v>
      </c>
      <c r="F24" s="6" t="s">
        <v>48</v>
      </c>
      <c r="G24" s="12" t="n">
        <v>3</v>
      </c>
      <c r="H24" s="13" t="n">
        <v>15500000</v>
      </c>
      <c r="I24" s="13" t="n">
        <v>46500000</v>
      </c>
    </row>
    <row r="25" customFormat="false" ht="15" hidden="false" customHeight="false" outlineLevel="0" collapsed="false">
      <c r="A25" s="10" t="s">
        <v>76</v>
      </c>
      <c r="B25" s="11" t="n">
        <v>46070</v>
      </c>
      <c r="C25" s="6" t="s">
        <v>40</v>
      </c>
      <c r="D25" s="10" t="s">
        <v>41</v>
      </c>
      <c r="E25" s="10" t="s">
        <v>56</v>
      </c>
      <c r="F25" s="6" t="s">
        <v>43</v>
      </c>
      <c r="G25" s="12" t="n">
        <v>24</v>
      </c>
      <c r="H25" s="13" t="n">
        <v>75000</v>
      </c>
      <c r="I25" s="13" t="n">
        <v>1800000</v>
      </c>
    </row>
    <row r="26" customFormat="false" ht="15" hidden="false" customHeight="false" outlineLevel="0" collapsed="false">
      <c r="A26" s="10" t="s">
        <v>77</v>
      </c>
      <c r="B26" s="11" t="n">
        <v>46071</v>
      </c>
      <c r="C26" s="6" t="s">
        <v>40</v>
      </c>
      <c r="D26" s="10" t="s">
        <v>41</v>
      </c>
      <c r="E26" s="10" t="s">
        <v>58</v>
      </c>
      <c r="F26" s="6" t="s">
        <v>48</v>
      </c>
      <c r="G26" s="12" t="n">
        <v>3</v>
      </c>
      <c r="H26" s="13" t="n">
        <v>3800000</v>
      </c>
      <c r="I26" s="13" t="n">
        <v>11400000</v>
      </c>
    </row>
    <row r="27" customFormat="false" ht="15" hidden="false" customHeight="false" outlineLevel="0" collapsed="false">
      <c r="A27" s="10" t="s">
        <v>78</v>
      </c>
      <c r="B27" s="11" t="n">
        <v>46073</v>
      </c>
      <c r="C27" s="6" t="s">
        <v>45</v>
      </c>
      <c r="D27" s="10" t="s">
        <v>46</v>
      </c>
      <c r="E27" s="10" t="s">
        <v>42</v>
      </c>
      <c r="F27" s="6" t="s">
        <v>43</v>
      </c>
      <c r="G27" s="12" t="n">
        <v>1</v>
      </c>
      <c r="H27" s="13" t="n">
        <v>4500000</v>
      </c>
      <c r="I27" s="13" t="n">
        <v>4500000</v>
      </c>
    </row>
    <row r="28" customFormat="false" ht="15" hidden="false" customHeight="false" outlineLevel="0" collapsed="false">
      <c r="A28" s="10" t="s">
        <v>79</v>
      </c>
      <c r="B28" s="11" t="n">
        <v>46073</v>
      </c>
      <c r="C28" s="6" t="s">
        <v>40</v>
      </c>
      <c r="D28" s="10" t="s">
        <v>41</v>
      </c>
      <c r="E28" s="10" t="s">
        <v>64</v>
      </c>
      <c r="F28" s="6" t="s">
        <v>48</v>
      </c>
      <c r="G28" s="12" t="n">
        <v>7</v>
      </c>
      <c r="H28" s="13" t="n">
        <v>9200000</v>
      </c>
      <c r="I28" s="13" t="n">
        <v>64400000</v>
      </c>
    </row>
    <row r="29" customFormat="false" ht="15" hidden="false" customHeight="false" outlineLevel="0" collapsed="false">
      <c r="A29" s="10" t="s">
        <v>80</v>
      </c>
      <c r="B29" s="11" t="n">
        <v>46076</v>
      </c>
      <c r="C29" s="6" t="s">
        <v>51</v>
      </c>
      <c r="D29" s="10" t="s">
        <v>41</v>
      </c>
      <c r="E29" s="10" t="s">
        <v>52</v>
      </c>
      <c r="F29" s="6" t="s">
        <v>38</v>
      </c>
      <c r="G29" s="12" t="n">
        <v>2</v>
      </c>
      <c r="H29" s="13" t="n">
        <v>350000</v>
      </c>
      <c r="I29" s="13" t="n">
        <v>700000</v>
      </c>
    </row>
    <row r="30" customFormat="false" ht="15" hidden="false" customHeight="false" outlineLevel="0" collapsed="false">
      <c r="A30" s="10" t="s">
        <v>81</v>
      </c>
      <c r="B30" s="11" t="n">
        <v>46080</v>
      </c>
      <c r="C30" s="6" t="s">
        <v>35</v>
      </c>
      <c r="D30" s="10" t="s">
        <v>36</v>
      </c>
      <c r="E30" s="10" t="s">
        <v>64</v>
      </c>
      <c r="F30" s="6" t="s">
        <v>48</v>
      </c>
      <c r="G30" s="12" t="n">
        <v>5</v>
      </c>
      <c r="H30" s="13" t="n">
        <v>9200000</v>
      </c>
      <c r="I30" s="13" t="n">
        <v>46000000</v>
      </c>
    </row>
    <row r="31" customFormat="false" ht="15" hidden="false" customHeight="false" outlineLevel="0" collapsed="false">
      <c r="A31" s="10" t="s">
        <v>82</v>
      </c>
      <c r="B31" s="11" t="n">
        <v>46081</v>
      </c>
      <c r="C31" s="6" t="s">
        <v>40</v>
      </c>
      <c r="D31" s="10" t="s">
        <v>41</v>
      </c>
      <c r="E31" s="10" t="s">
        <v>64</v>
      </c>
      <c r="F31" s="6" t="s">
        <v>48</v>
      </c>
      <c r="G31" s="12" t="n">
        <v>2</v>
      </c>
      <c r="H31" s="13" t="n">
        <v>9200000</v>
      </c>
      <c r="I31" s="13" t="n">
        <v>18400000</v>
      </c>
    </row>
    <row r="32" customFormat="false" ht="15" hidden="false" customHeight="false" outlineLevel="0" collapsed="false">
      <c r="A32" s="10" t="s">
        <v>83</v>
      </c>
      <c r="B32" s="11" t="n">
        <v>46082</v>
      </c>
      <c r="C32" s="6" t="s">
        <v>35</v>
      </c>
      <c r="D32" s="10" t="s">
        <v>36</v>
      </c>
      <c r="E32" s="10" t="s">
        <v>56</v>
      </c>
      <c r="F32" s="6" t="s">
        <v>43</v>
      </c>
      <c r="G32" s="12" t="n">
        <v>23</v>
      </c>
      <c r="H32" s="13" t="n">
        <v>75000</v>
      </c>
      <c r="I32" s="13" t="n">
        <v>1725000</v>
      </c>
    </row>
    <row r="33" customFormat="false" ht="15" hidden="false" customHeight="false" outlineLevel="0" collapsed="false">
      <c r="A33" s="10" t="s">
        <v>84</v>
      </c>
      <c r="B33" s="11" t="n">
        <v>46083</v>
      </c>
      <c r="C33" s="6" t="s">
        <v>35</v>
      </c>
      <c r="D33" s="10" t="s">
        <v>36</v>
      </c>
      <c r="E33" s="10" t="s">
        <v>52</v>
      </c>
      <c r="F33" s="6" t="s">
        <v>38</v>
      </c>
      <c r="G33" s="12" t="n">
        <v>2</v>
      </c>
      <c r="H33" s="13" t="n">
        <v>350000</v>
      </c>
      <c r="I33" s="13" t="n">
        <v>700000</v>
      </c>
    </row>
    <row r="34" customFormat="false" ht="15" hidden="false" customHeight="false" outlineLevel="0" collapsed="false">
      <c r="A34" s="10" t="s">
        <v>85</v>
      </c>
      <c r="B34" s="11" t="n">
        <v>46084</v>
      </c>
      <c r="C34" s="6" t="s">
        <v>51</v>
      </c>
      <c r="D34" s="10" t="s">
        <v>41</v>
      </c>
      <c r="E34" s="10" t="s">
        <v>64</v>
      </c>
      <c r="F34" s="6" t="s">
        <v>48</v>
      </c>
      <c r="G34" s="12" t="n">
        <v>5</v>
      </c>
      <c r="H34" s="13" t="n">
        <v>9200000</v>
      </c>
      <c r="I34" s="13" t="n">
        <v>46000000</v>
      </c>
    </row>
    <row r="35" customFormat="false" ht="15" hidden="false" customHeight="false" outlineLevel="0" collapsed="false">
      <c r="A35" s="10" t="s">
        <v>86</v>
      </c>
      <c r="B35" s="11" t="n">
        <v>46088</v>
      </c>
      <c r="C35" s="6" t="s">
        <v>63</v>
      </c>
      <c r="D35" s="10" t="s">
        <v>46</v>
      </c>
      <c r="E35" s="10" t="s">
        <v>52</v>
      </c>
      <c r="F35" s="6" t="s">
        <v>38</v>
      </c>
      <c r="G35" s="12" t="n">
        <v>7</v>
      </c>
      <c r="H35" s="13" t="n">
        <v>350000</v>
      </c>
      <c r="I35" s="13" t="n">
        <v>2450000</v>
      </c>
    </row>
    <row r="36" customFormat="false" ht="15" hidden="false" customHeight="false" outlineLevel="0" collapsed="false">
      <c r="A36" s="10" t="s">
        <v>87</v>
      </c>
      <c r="B36" s="11" t="n">
        <v>46093</v>
      </c>
      <c r="C36" s="6" t="s">
        <v>63</v>
      </c>
      <c r="D36" s="10" t="s">
        <v>46</v>
      </c>
      <c r="E36" s="10" t="s">
        <v>58</v>
      </c>
      <c r="F36" s="6" t="s">
        <v>48</v>
      </c>
      <c r="G36" s="12" t="n">
        <v>7</v>
      </c>
      <c r="H36" s="13" t="n">
        <v>3800000</v>
      </c>
      <c r="I36" s="13" t="n">
        <v>26600000</v>
      </c>
    </row>
    <row r="37" customFormat="false" ht="15" hidden="false" customHeight="false" outlineLevel="0" collapsed="false">
      <c r="A37" s="10" t="s">
        <v>88</v>
      </c>
      <c r="B37" s="11" t="n">
        <v>46093</v>
      </c>
      <c r="C37" s="6" t="s">
        <v>63</v>
      </c>
      <c r="D37" s="10" t="s">
        <v>46</v>
      </c>
      <c r="E37" s="10" t="s">
        <v>42</v>
      </c>
      <c r="F37" s="6" t="s">
        <v>43</v>
      </c>
      <c r="G37" s="12" t="n">
        <v>2</v>
      </c>
      <c r="H37" s="13" t="n">
        <v>4500000</v>
      </c>
      <c r="I37" s="13" t="n">
        <v>9000000</v>
      </c>
    </row>
    <row r="38" customFormat="false" ht="15" hidden="false" customHeight="false" outlineLevel="0" collapsed="false">
      <c r="A38" s="10" t="s">
        <v>89</v>
      </c>
      <c r="B38" s="11" t="n">
        <v>46093</v>
      </c>
      <c r="C38" s="6" t="s">
        <v>51</v>
      </c>
      <c r="D38" s="10" t="s">
        <v>41</v>
      </c>
      <c r="E38" s="10" t="s">
        <v>64</v>
      </c>
      <c r="F38" s="6" t="s">
        <v>48</v>
      </c>
      <c r="G38" s="12" t="n">
        <v>5</v>
      </c>
      <c r="H38" s="13" t="n">
        <v>9200000</v>
      </c>
      <c r="I38" s="13" t="n">
        <v>46000000</v>
      </c>
    </row>
    <row r="39" customFormat="false" ht="15" hidden="false" customHeight="false" outlineLevel="0" collapsed="false">
      <c r="A39" s="10" t="s">
        <v>90</v>
      </c>
      <c r="B39" s="11" t="n">
        <v>46093</v>
      </c>
      <c r="C39" s="6" t="s">
        <v>51</v>
      </c>
      <c r="D39" s="10" t="s">
        <v>41</v>
      </c>
      <c r="E39" s="10" t="s">
        <v>54</v>
      </c>
      <c r="F39" s="6" t="s">
        <v>38</v>
      </c>
      <c r="G39" s="12" t="n">
        <v>5</v>
      </c>
      <c r="H39" s="13" t="n">
        <v>1200000</v>
      </c>
      <c r="I39" s="13" t="n">
        <v>6000000</v>
      </c>
    </row>
    <row r="40" customFormat="false" ht="15" hidden="false" customHeight="false" outlineLevel="0" collapsed="false">
      <c r="A40" s="10" t="s">
        <v>91</v>
      </c>
      <c r="B40" s="11" t="n">
        <v>46096</v>
      </c>
      <c r="C40" s="6" t="s">
        <v>40</v>
      </c>
      <c r="D40" s="10" t="s">
        <v>41</v>
      </c>
      <c r="E40" s="10" t="s">
        <v>52</v>
      </c>
      <c r="F40" s="6" t="s">
        <v>38</v>
      </c>
      <c r="G40" s="12" t="n">
        <v>4</v>
      </c>
      <c r="H40" s="13" t="n">
        <v>350000</v>
      </c>
      <c r="I40" s="13" t="n">
        <v>1400000</v>
      </c>
    </row>
    <row r="41" customFormat="false" ht="15" hidden="false" customHeight="false" outlineLevel="0" collapsed="false">
      <c r="A41" s="10" t="s">
        <v>92</v>
      </c>
      <c r="B41" s="11" t="n">
        <v>46097</v>
      </c>
      <c r="C41" s="6" t="s">
        <v>40</v>
      </c>
      <c r="D41" s="10" t="s">
        <v>41</v>
      </c>
      <c r="E41" s="10" t="s">
        <v>47</v>
      </c>
      <c r="F41" s="6" t="s">
        <v>48</v>
      </c>
      <c r="G41" s="12" t="n">
        <v>7</v>
      </c>
      <c r="H41" s="13" t="n">
        <v>15500000</v>
      </c>
      <c r="I41" s="13" t="n">
        <v>108500000</v>
      </c>
    </row>
    <row r="42" customFormat="false" ht="15" hidden="false" customHeight="false" outlineLevel="0" collapsed="false">
      <c r="A42" s="10" t="s">
        <v>93</v>
      </c>
      <c r="B42" s="11" t="n">
        <v>46098</v>
      </c>
      <c r="C42" s="6" t="s">
        <v>51</v>
      </c>
      <c r="D42" s="10" t="s">
        <v>41</v>
      </c>
      <c r="E42" s="10" t="s">
        <v>47</v>
      </c>
      <c r="F42" s="6" t="s">
        <v>48</v>
      </c>
      <c r="G42" s="12" t="n">
        <v>3</v>
      </c>
      <c r="H42" s="13" t="n">
        <v>15500000</v>
      </c>
      <c r="I42" s="13" t="n">
        <v>46500000</v>
      </c>
    </row>
    <row r="43" customFormat="false" ht="15" hidden="false" customHeight="false" outlineLevel="0" collapsed="false">
      <c r="A43" s="10" t="s">
        <v>94</v>
      </c>
      <c r="B43" s="11" t="n">
        <v>46100</v>
      </c>
      <c r="C43" s="6" t="s">
        <v>35</v>
      </c>
      <c r="D43" s="10" t="s">
        <v>36</v>
      </c>
      <c r="E43" s="10" t="s">
        <v>37</v>
      </c>
      <c r="F43" s="6" t="s">
        <v>38</v>
      </c>
      <c r="G43" s="12" t="n">
        <v>6</v>
      </c>
      <c r="H43" s="13" t="n">
        <v>2100000</v>
      </c>
      <c r="I43" s="13" t="n">
        <v>12600000</v>
      </c>
    </row>
    <row r="44" customFormat="false" ht="15" hidden="false" customHeight="false" outlineLevel="0" collapsed="false">
      <c r="A44" s="10" t="s">
        <v>95</v>
      </c>
      <c r="B44" s="11" t="n">
        <v>46105</v>
      </c>
      <c r="C44" s="6" t="s">
        <v>35</v>
      </c>
      <c r="D44" s="10" t="s">
        <v>36</v>
      </c>
      <c r="E44" s="10" t="s">
        <v>47</v>
      </c>
      <c r="F44" s="6" t="s">
        <v>48</v>
      </c>
      <c r="G44" s="12" t="n">
        <v>8</v>
      </c>
      <c r="H44" s="13" t="n">
        <v>15500000</v>
      </c>
      <c r="I44" s="13" t="n">
        <v>124000000</v>
      </c>
    </row>
    <row r="45" customFormat="false" ht="15" hidden="false" customHeight="false" outlineLevel="0" collapsed="false">
      <c r="A45" s="10" t="s">
        <v>96</v>
      </c>
      <c r="B45" s="11" t="n">
        <v>46107</v>
      </c>
      <c r="C45" s="6" t="s">
        <v>45</v>
      </c>
      <c r="D45" s="10" t="s">
        <v>46</v>
      </c>
      <c r="E45" s="10" t="s">
        <v>54</v>
      </c>
      <c r="F45" s="6" t="s">
        <v>38</v>
      </c>
      <c r="G45" s="12" t="n">
        <v>4</v>
      </c>
      <c r="H45" s="13" t="n">
        <v>1200000</v>
      </c>
      <c r="I45" s="13" t="n">
        <v>4800000</v>
      </c>
    </row>
    <row r="46" customFormat="false" ht="15" hidden="false" customHeight="false" outlineLevel="0" collapsed="false">
      <c r="A46" s="10" t="s">
        <v>97</v>
      </c>
      <c r="B46" s="11" t="n">
        <v>46108</v>
      </c>
      <c r="C46" s="6" t="s">
        <v>63</v>
      </c>
      <c r="D46" s="10" t="s">
        <v>46</v>
      </c>
      <c r="E46" s="10" t="s">
        <v>56</v>
      </c>
      <c r="F46" s="6" t="s">
        <v>43</v>
      </c>
      <c r="G46" s="12" t="n">
        <v>7</v>
      </c>
      <c r="H46" s="13" t="n">
        <v>75000</v>
      </c>
      <c r="I46" s="13" t="n">
        <v>525000</v>
      </c>
    </row>
    <row r="47" customFormat="false" ht="15" hidden="false" customHeight="false" outlineLevel="0" collapsed="false">
      <c r="A47" s="10" t="s">
        <v>98</v>
      </c>
      <c r="B47" s="11" t="n">
        <v>46108</v>
      </c>
      <c r="C47" s="6" t="s">
        <v>51</v>
      </c>
      <c r="D47" s="10" t="s">
        <v>41</v>
      </c>
      <c r="E47" s="10" t="s">
        <v>37</v>
      </c>
      <c r="F47" s="6" t="s">
        <v>38</v>
      </c>
      <c r="G47" s="12" t="n">
        <v>6</v>
      </c>
      <c r="H47" s="13" t="n">
        <v>2100000</v>
      </c>
      <c r="I47" s="13" t="n">
        <v>12600000</v>
      </c>
    </row>
    <row r="48" customFormat="false" ht="15" hidden="false" customHeight="false" outlineLevel="0" collapsed="false">
      <c r="A48" s="10" t="s">
        <v>99</v>
      </c>
      <c r="B48" s="11" t="n">
        <v>46110</v>
      </c>
      <c r="C48" s="6" t="s">
        <v>40</v>
      </c>
      <c r="D48" s="10" t="s">
        <v>41</v>
      </c>
      <c r="E48" s="10" t="s">
        <v>37</v>
      </c>
      <c r="F48" s="6" t="s">
        <v>38</v>
      </c>
      <c r="G48" s="12" t="n">
        <v>3</v>
      </c>
      <c r="H48" s="13" t="n">
        <v>2100000</v>
      </c>
      <c r="I48" s="13" t="n">
        <v>6300000</v>
      </c>
    </row>
    <row r="49" customFormat="false" ht="15" hidden="false" customHeight="false" outlineLevel="0" collapsed="false">
      <c r="A49" s="10" t="s">
        <v>100</v>
      </c>
      <c r="B49" s="11" t="n">
        <v>46110</v>
      </c>
      <c r="C49" s="6" t="s">
        <v>35</v>
      </c>
      <c r="D49" s="10" t="s">
        <v>36</v>
      </c>
      <c r="E49" s="10" t="s">
        <v>56</v>
      </c>
      <c r="F49" s="6" t="s">
        <v>43</v>
      </c>
      <c r="G49" s="12" t="n">
        <v>17</v>
      </c>
      <c r="H49" s="13" t="n">
        <v>75000</v>
      </c>
      <c r="I49" s="13" t="n">
        <v>1275000</v>
      </c>
    </row>
    <row r="50" customFormat="false" ht="15" hidden="false" customHeight="false" outlineLevel="0" collapsed="false">
      <c r="A50" s="10" t="s">
        <v>101</v>
      </c>
      <c r="B50" s="11" t="n">
        <v>46111</v>
      </c>
      <c r="C50" s="6" t="s">
        <v>35</v>
      </c>
      <c r="D50" s="10" t="s">
        <v>36</v>
      </c>
      <c r="E50" s="10" t="s">
        <v>42</v>
      </c>
      <c r="F50" s="6" t="s">
        <v>43</v>
      </c>
      <c r="G50" s="12" t="n">
        <v>6</v>
      </c>
      <c r="H50" s="13" t="n">
        <v>4500000</v>
      </c>
      <c r="I50" s="13" t="n">
        <v>27000000</v>
      </c>
    </row>
    <row r="51" customFormat="false" ht="15" hidden="false" customHeight="false" outlineLevel="0" collapsed="false">
      <c r="A51" s="10" t="s">
        <v>102</v>
      </c>
      <c r="B51" s="11" t="n">
        <v>46111</v>
      </c>
      <c r="C51" s="6" t="s">
        <v>45</v>
      </c>
      <c r="D51" s="10" t="s">
        <v>46</v>
      </c>
      <c r="E51" s="10" t="s">
        <v>42</v>
      </c>
      <c r="F51" s="6" t="s">
        <v>43</v>
      </c>
      <c r="G51" s="12" t="n">
        <v>1</v>
      </c>
      <c r="H51" s="13" t="n">
        <v>4500000</v>
      </c>
      <c r="I51" s="13" t="n">
        <v>4500000</v>
      </c>
    </row>
  </sheetData>
  <autoFilter ref="A1:I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7" t="s">
        <v>29</v>
      </c>
      <c r="B1" s="7" t="s">
        <v>103</v>
      </c>
      <c r="C1" s="7" t="s">
        <v>30</v>
      </c>
      <c r="D1" s="7" t="s">
        <v>32</v>
      </c>
      <c r="F1" s="7" t="s">
        <v>104</v>
      </c>
      <c r="G1" s="7" t="s">
        <v>105</v>
      </c>
      <c r="H1" s="7" t="s">
        <v>106</v>
      </c>
      <c r="J1" s="7" t="s">
        <v>107</v>
      </c>
      <c r="K1" s="7" t="s">
        <v>108</v>
      </c>
    </row>
    <row r="2" customFormat="false" ht="15" hidden="false" customHeight="false" outlineLevel="0" collapsed="false">
      <c r="A2" s="6" t="s">
        <v>47</v>
      </c>
      <c r="B2" s="6" t="s">
        <v>109</v>
      </c>
      <c r="C2" s="6" t="s">
        <v>48</v>
      </c>
      <c r="D2" s="13" t="n">
        <v>15500000</v>
      </c>
      <c r="F2" s="6" t="s">
        <v>110</v>
      </c>
      <c r="G2" s="6" t="s">
        <v>63</v>
      </c>
      <c r="H2" s="6" t="s">
        <v>46</v>
      </c>
      <c r="J2" s="13" t="n">
        <v>0</v>
      </c>
      <c r="K2" s="14" t="n">
        <v>0</v>
      </c>
    </row>
    <row r="3" customFormat="false" ht="15" hidden="false" customHeight="false" outlineLevel="0" collapsed="false">
      <c r="A3" s="6" t="s">
        <v>52</v>
      </c>
      <c r="B3" s="6" t="s">
        <v>111</v>
      </c>
      <c r="C3" s="6" t="s">
        <v>38</v>
      </c>
      <c r="D3" s="13" t="n">
        <v>350000</v>
      </c>
      <c r="F3" s="6" t="s">
        <v>112</v>
      </c>
      <c r="G3" s="6" t="s">
        <v>45</v>
      </c>
      <c r="H3" s="6" t="s">
        <v>46</v>
      </c>
      <c r="J3" s="13" t="n">
        <v>50000000</v>
      </c>
      <c r="K3" s="14" t="n">
        <v>0.02</v>
      </c>
    </row>
    <row r="4" customFormat="false" ht="15" hidden="false" customHeight="false" outlineLevel="0" collapsed="false">
      <c r="A4" s="6" t="s">
        <v>54</v>
      </c>
      <c r="B4" s="6" t="s">
        <v>113</v>
      </c>
      <c r="C4" s="6" t="s">
        <v>38</v>
      </c>
      <c r="D4" s="13" t="n">
        <v>1200000</v>
      </c>
      <c r="F4" s="6" t="s">
        <v>114</v>
      </c>
      <c r="G4" s="6" t="s">
        <v>35</v>
      </c>
      <c r="H4" s="6" t="s">
        <v>36</v>
      </c>
      <c r="J4" s="13" t="n">
        <v>100000000</v>
      </c>
      <c r="K4" s="14" t="n">
        <v>0.03</v>
      </c>
    </row>
    <row r="5" customFormat="false" ht="15" hidden="false" customHeight="false" outlineLevel="0" collapsed="false">
      <c r="A5" s="6" t="s">
        <v>58</v>
      </c>
      <c r="B5" s="6" t="s">
        <v>115</v>
      </c>
      <c r="C5" s="6" t="s">
        <v>48</v>
      </c>
      <c r="D5" s="13" t="n">
        <v>3800000</v>
      </c>
      <c r="F5" s="6" t="s">
        <v>116</v>
      </c>
      <c r="G5" s="6" t="s">
        <v>51</v>
      </c>
      <c r="H5" s="6" t="s">
        <v>41</v>
      </c>
      <c r="J5" s="13" t="n">
        <v>200000000</v>
      </c>
      <c r="K5" s="14" t="n">
        <v>0.05</v>
      </c>
    </row>
    <row r="6" customFormat="false" ht="15" hidden="false" customHeight="false" outlineLevel="0" collapsed="false">
      <c r="A6" s="6" t="s">
        <v>37</v>
      </c>
      <c r="B6" s="6" t="s">
        <v>117</v>
      </c>
      <c r="C6" s="6" t="s">
        <v>38</v>
      </c>
      <c r="D6" s="13" t="n">
        <v>2100000</v>
      </c>
      <c r="F6" s="6" t="s">
        <v>118</v>
      </c>
      <c r="G6" s="6" t="s">
        <v>40</v>
      </c>
      <c r="H6" s="6" t="s">
        <v>41</v>
      </c>
    </row>
    <row r="7" customFormat="false" ht="15" hidden="false" customHeight="false" outlineLevel="0" collapsed="false">
      <c r="A7" s="6" t="s">
        <v>42</v>
      </c>
      <c r="B7" s="6" t="s">
        <v>119</v>
      </c>
      <c r="C7" s="6" t="s">
        <v>43</v>
      </c>
      <c r="D7" s="13" t="n">
        <v>4500000</v>
      </c>
      <c r="J7" s="15" t="s">
        <v>120</v>
      </c>
    </row>
    <row r="8" customFormat="false" ht="15" hidden="false" customHeight="false" outlineLevel="0" collapsed="false">
      <c r="A8" s="6" t="s">
        <v>56</v>
      </c>
      <c r="B8" s="6" t="s">
        <v>121</v>
      </c>
      <c r="C8" s="6" t="s">
        <v>43</v>
      </c>
      <c r="D8" s="13" t="n">
        <v>75000</v>
      </c>
    </row>
    <row r="9" customFormat="false" ht="15" hidden="false" customHeight="false" outlineLevel="0" collapsed="false">
      <c r="A9" s="6" t="s">
        <v>64</v>
      </c>
      <c r="B9" s="6" t="s">
        <v>122</v>
      </c>
      <c r="C9" s="6" t="s">
        <v>48</v>
      </c>
      <c r="D9" s="13" t="n">
        <v>9200000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125</v>
      </c>
    </row>
    <row r="5" customFormat="false" ht="15" hidden="false" customHeight="false" outlineLevel="0" collapsed="false">
      <c r="A5" s="7" t="s">
        <v>126</v>
      </c>
      <c r="B5" s="7" t="s">
        <v>29</v>
      </c>
      <c r="C5" s="7" t="s">
        <v>31</v>
      </c>
      <c r="D5" s="7" t="s">
        <v>103</v>
      </c>
      <c r="E5" s="7" t="s">
        <v>32</v>
      </c>
      <c r="F5" s="7" t="s">
        <v>33</v>
      </c>
      <c r="G5" s="7" t="s">
        <v>127</v>
      </c>
    </row>
    <row r="6" customFormat="false" ht="23.85" hidden="false" customHeight="false" outlineLevel="0" collapsed="false">
      <c r="A6" s="16" t="s">
        <v>128</v>
      </c>
      <c r="B6" s="16" t="s">
        <v>58</v>
      </c>
      <c r="C6" s="16" t="n">
        <v>2</v>
      </c>
      <c r="D6" s="17" t="str">
        <f aca="false">VLOOKUP(B6,DanhMuc!$A$2:$D$9,2,FALSE())</f>
        <v>Màn hình LG 24 inch</v>
      </c>
      <c r="E6" s="18" t="n">
        <f aca="false">VLOOKUP(B6,DanhMuc!$A$2:$D$9,4,FALSE())</f>
        <v>3800000</v>
      </c>
      <c r="F6" s="18" t="n">
        <f aca="false">C6*E6</f>
        <v>7600000</v>
      </c>
      <c r="G6" s="17" t="s">
        <v>129</v>
      </c>
    </row>
    <row r="7" customFormat="false" ht="15" hidden="false" customHeight="false" outlineLevel="0" collapsed="false">
      <c r="A7" s="10" t="n">
        <v>1</v>
      </c>
      <c r="B7" s="10" t="s">
        <v>52</v>
      </c>
      <c r="C7" s="10" t="n">
        <v>3</v>
      </c>
      <c r="D7" s="19"/>
      <c r="E7" s="20"/>
      <c r="F7" s="20"/>
      <c r="G7" s="10" t="str">
        <f aca="false">IF(COUNTBLANK(D7:F7)=3,"",IF(COUNTBLANK(D7:F7)&gt;0,"… làm tiếp",IFERROR(IF(AND(TRIM(D7)=DapAn!$D$5,E7=DapAn!$D$6,F7=DapAn!$D$7),"✔ Đúng","✘ Sai"),"✘ Sai")))</f>
        <v/>
      </c>
    </row>
    <row r="8" customFormat="false" ht="15" hidden="false" customHeight="false" outlineLevel="0" collapsed="false">
      <c r="A8" s="10" t="n">
        <v>2</v>
      </c>
      <c r="B8" s="10" t="s">
        <v>56</v>
      </c>
      <c r="C8" s="10" t="n">
        <v>20</v>
      </c>
      <c r="D8" s="19"/>
      <c r="E8" s="20"/>
      <c r="F8" s="20"/>
      <c r="G8" s="10" t="str">
        <f aca="false">IF(COUNTBLANK(D8:F8)=3,"",IF(COUNTBLANK(D8:F8)&gt;0,"… làm tiếp",IFERROR(IF(AND(TRIM(D8)=DapAn!$D$8,E8=DapAn!$D$9,F8=DapAn!$D$10),"✔ Đúng","✘ Sai"),"✘ Sai")))</f>
        <v/>
      </c>
    </row>
    <row r="9" customFormat="false" ht="15" hidden="false" customHeight="false" outlineLevel="0" collapsed="false">
      <c r="A9" s="10" t="n">
        <v>3</v>
      </c>
      <c r="B9" s="10" t="s">
        <v>47</v>
      </c>
      <c r="C9" s="10" t="n">
        <v>1</v>
      </c>
      <c r="D9" s="19"/>
      <c r="E9" s="20"/>
      <c r="F9" s="20"/>
      <c r="G9" s="10" t="str">
        <f aca="false">IF(COUNTBLANK(D9:F9)=3,"",IF(COUNTBLANK(D9:F9)&gt;0,"… làm tiếp",IFERROR(IF(AND(TRIM(D9)=DapAn!$D$11,E9=DapAn!$D$12,F9=DapAn!$D$13),"✔ Đúng","✘ Sai"),"✘ Sai")))</f>
        <v/>
      </c>
    </row>
    <row r="10" customFormat="false" ht="15" hidden="false" customHeight="false" outlineLevel="0" collapsed="false">
      <c r="A10" s="10" t="n">
        <v>4</v>
      </c>
      <c r="B10" s="10" t="s">
        <v>37</v>
      </c>
      <c r="C10" s="10" t="n">
        <v>4</v>
      </c>
      <c r="D10" s="19"/>
      <c r="E10" s="20"/>
      <c r="F10" s="20"/>
      <c r="G10" s="10" t="str">
        <f aca="false">IF(COUNTBLANK(D10:F10)=3,"",IF(COUNTBLANK(D10:F10)&gt;0,"… làm tiếp",IFERROR(IF(AND(TRIM(D10)=DapAn!$D$14,E10=DapAn!$D$15,F10=DapAn!$D$16),"✔ Đúng","✘ Sai"),"✘ Sai")))</f>
        <v/>
      </c>
    </row>
    <row r="11" customFormat="false" ht="15" hidden="false" customHeight="false" outlineLevel="0" collapsed="false">
      <c r="A11" s="10" t="n">
        <v>5</v>
      </c>
      <c r="B11" s="10" t="s">
        <v>64</v>
      </c>
      <c r="C11" s="10" t="n">
        <v>2</v>
      </c>
      <c r="D11" s="19"/>
      <c r="E11" s="20"/>
      <c r="F11" s="20"/>
      <c r="G11" s="10" t="str">
        <f aca="false">IF(COUNTBLANK(D11:F11)=3,"",IF(COUNTBLANK(D11:F11)&gt;0,"… làm tiếp",IFERROR(IF(AND(TRIM(D11)=DapAn!$D$17,E11=DapAn!$D$18,F11=DapAn!$D$19),"✔ Đúng","✘ Sai"),"✘ Sai")))</f>
        <v/>
      </c>
    </row>
    <row r="12" customFormat="false" ht="15" hidden="false" customHeight="false" outlineLevel="0" collapsed="false">
      <c r="A12" s="10" t="n">
        <v>6</v>
      </c>
      <c r="B12" s="10" t="s">
        <v>54</v>
      </c>
      <c r="C12" s="10" t="n">
        <v>5</v>
      </c>
      <c r="D12" s="19"/>
      <c r="E12" s="20"/>
      <c r="F12" s="20"/>
      <c r="G12" s="10" t="str">
        <f aca="false">IF(COUNTBLANK(D12:F12)=3,"",IF(COUNTBLANK(D12:F12)&gt;0,"… làm tiếp",IFERROR(IF(AND(TRIM(D12)=DapAn!$D$20,E12=DapAn!$D$21,F12=DapAn!$D$22),"✔ Đúng","✘ Sai"),"✘ Sai")))</f>
        <v/>
      </c>
    </row>
    <row r="13" customFormat="false" ht="15" hidden="false" customHeight="false" outlineLevel="0" collapsed="false">
      <c r="A13" s="10" t="n">
        <v>7</v>
      </c>
      <c r="B13" s="10" t="s">
        <v>42</v>
      </c>
      <c r="C13" s="10" t="n">
        <v>1</v>
      </c>
      <c r="D13" s="19"/>
      <c r="E13" s="20"/>
      <c r="F13" s="20"/>
      <c r="G13" s="10" t="str">
        <f aca="false">IF(COUNTBLANK(D13:F13)=3,"",IF(COUNTBLANK(D13:F13)&gt;0,"… làm tiếp",IFERROR(IF(AND(TRIM(D13)=DapAn!$D$23,E13=DapAn!$D$24,F13=DapAn!$D$25),"✔ Đúng","✘ Sai"),"✘ Sai")))</f>
        <v/>
      </c>
    </row>
    <row r="16" customFormat="false" ht="15" hidden="false" customHeight="false" outlineLevel="0" collapsed="false">
      <c r="A16" s="3" t="s">
        <v>130</v>
      </c>
    </row>
    <row r="17" customFormat="false" ht="15" hidden="false" customHeight="false" outlineLevel="0" collapsed="false">
      <c r="A17" s="7" t="s">
        <v>126</v>
      </c>
      <c r="B17" s="7" t="s">
        <v>104</v>
      </c>
      <c r="C17" s="7" t="s">
        <v>105</v>
      </c>
      <c r="D17" s="7" t="s">
        <v>106</v>
      </c>
      <c r="E17" s="7" t="s">
        <v>127</v>
      </c>
    </row>
    <row r="18" customFormat="false" ht="15" hidden="false" customHeight="false" outlineLevel="0" collapsed="false">
      <c r="A18" s="16" t="s">
        <v>128</v>
      </c>
      <c r="B18" s="16" t="s">
        <v>110</v>
      </c>
      <c r="C18" s="17" t="str">
        <f aca="false">IFERROR(VLOOKUP(B18,DanhMuc!$F$2:$H$6,2,FALSE()),"Không tìm thấy")</f>
        <v>Nguyễn Văn An</v>
      </c>
      <c r="D18" s="17" t="str">
        <f aca="false">IFERROR(VLOOKUP(B18,DanhMuc!$F$2:$H$6,3,FALSE()),"Không tìm thấy")</f>
        <v>Hà Nội</v>
      </c>
      <c r="E18" s="17" t="s">
        <v>131</v>
      </c>
    </row>
    <row r="19" customFormat="false" ht="15" hidden="false" customHeight="false" outlineLevel="0" collapsed="false">
      <c r="A19" s="10" t="n">
        <v>1</v>
      </c>
      <c r="B19" s="10" t="s">
        <v>116</v>
      </c>
      <c r="C19" s="19"/>
      <c r="D19" s="19"/>
      <c r="E19" s="10" t="str">
        <f aca="false">IF(COUNTBLANK(C19:D19)=2,"",IF(COUNTBLANK(C19:D19)&gt;0,"… làm tiếp",IF(AND(TRIM(C19)=DapAn!$D$26,TRIM(D19)=DapAn!$D$27),"✔ Đúng","✘ Sai")))</f>
        <v/>
      </c>
    </row>
    <row r="20" customFormat="false" ht="15" hidden="false" customHeight="false" outlineLevel="0" collapsed="false">
      <c r="A20" s="10" t="n">
        <v>2</v>
      </c>
      <c r="B20" s="10" t="s">
        <v>112</v>
      </c>
      <c r="C20" s="19"/>
      <c r="D20" s="19"/>
      <c r="E20" s="10" t="str">
        <f aca="false">IF(COUNTBLANK(C20:D20)=2,"",IF(COUNTBLANK(C20:D20)&gt;0,"… làm tiếp",IF(AND(TRIM(C20)=DapAn!$D$28,TRIM(D20)=DapAn!$D$29),"✔ Đúng","✘ Sai")))</f>
        <v/>
      </c>
    </row>
    <row r="21" customFormat="false" ht="15" hidden="false" customHeight="false" outlineLevel="0" collapsed="false">
      <c r="A21" s="10" t="n">
        <v>3</v>
      </c>
      <c r="B21" s="10" t="s">
        <v>132</v>
      </c>
      <c r="C21" s="19"/>
      <c r="D21" s="19"/>
      <c r="E21" s="10" t="str">
        <f aca="false">IF(COUNTBLANK(C21:D21)=2,"",IF(COUNTBLANK(C21:D21)&gt;0,"… làm tiếp",IF(AND(TRIM(C21)=DapAn!$D$30,TRIM(D21)=DapAn!$D$31),"✔ Đúng","✘ Sai")))</f>
        <v/>
      </c>
    </row>
    <row r="22" customFormat="false" ht="15" hidden="false" customHeight="false" outlineLevel="0" collapsed="false">
      <c r="A22" s="10" t="n">
        <v>4</v>
      </c>
      <c r="B22" s="10" t="s">
        <v>118</v>
      </c>
      <c r="C22" s="19"/>
      <c r="D22" s="19"/>
      <c r="E22" s="10" t="str">
        <f aca="false">IF(COUNTBLANK(C22:D22)=2,"",IF(COUNTBLANK(C22:D22)&gt;0,"… làm tiếp",IF(AND(TRIM(C22)=DapAn!$D$32,TRIM(D22)=DapAn!$D$33),"✔ Đúng","✘ Sai")))</f>
        <v/>
      </c>
    </row>
    <row r="23" customFormat="false" ht="15" hidden="false" customHeight="false" outlineLevel="0" collapsed="false">
      <c r="A23" s="10" t="n">
        <v>5</v>
      </c>
      <c r="B23" s="10" t="s">
        <v>114</v>
      </c>
      <c r="C23" s="19"/>
      <c r="D23" s="19"/>
      <c r="E23" s="10" t="str">
        <f aca="false">IF(COUNTBLANK(C23:D23)=2,"",IF(COUNTBLANK(C23:D23)&gt;0,"… làm tiếp",IF(AND(TRIM(C23)=DapAn!$D$34,TRIM(D23)=DapAn!$D$35),"✔ Đúng","✘ Sai")))</f>
        <v/>
      </c>
    </row>
    <row r="26" customFormat="false" ht="15" hidden="false" customHeight="false" outlineLevel="0" collapsed="false">
      <c r="A26" s="3" t="s">
        <v>133</v>
      </c>
    </row>
    <row r="27" customFormat="false" ht="15" hidden="false" customHeight="false" outlineLevel="0" collapsed="false">
      <c r="A27" s="7" t="s">
        <v>126</v>
      </c>
      <c r="B27" s="7" t="s">
        <v>134</v>
      </c>
      <c r="C27" s="7" t="s">
        <v>108</v>
      </c>
      <c r="D27" s="7" t="s">
        <v>135</v>
      </c>
      <c r="E27" s="7" t="s">
        <v>127</v>
      </c>
    </row>
    <row r="28" customFormat="false" ht="15" hidden="false" customHeight="false" outlineLevel="0" collapsed="false">
      <c r="A28" s="16" t="s">
        <v>128</v>
      </c>
      <c r="B28" s="18" t="n">
        <v>120000000</v>
      </c>
      <c r="C28" s="21" t="n">
        <f aca="false">VLOOKUP(B28,DanhMuc!$J$2:$K$5,2,TRUE())</f>
        <v>0.03</v>
      </c>
      <c r="D28" s="18" t="n">
        <f aca="false">B28*C28</f>
        <v>3600000</v>
      </c>
      <c r="E28" s="17" t="s">
        <v>131</v>
      </c>
    </row>
    <row r="29" customFormat="false" ht="15" hidden="false" customHeight="false" outlineLevel="0" collapsed="false">
      <c r="A29" s="10" t="n">
        <v>1</v>
      </c>
      <c r="B29" s="13" t="n">
        <v>35000000</v>
      </c>
      <c r="C29" s="22"/>
      <c r="D29" s="20"/>
      <c r="E29" s="10" t="str">
        <f aca="false">IF(COUNTBLANK(C29:D29)=2,"",IF(COUNTBLANK(C29:D29)&gt;0,"… làm tiếp",IFERROR(IF(AND(ROUND(C29,4)=ROUND(DapAn!$D$36,4),ROUND(D29,0)=ROUND(DapAn!$D$37,0)),"✔ Đúng","✘ Sai"),"✘ Sai")))</f>
        <v/>
      </c>
    </row>
    <row r="30" customFormat="false" ht="15" hidden="false" customHeight="false" outlineLevel="0" collapsed="false">
      <c r="A30" s="10" t="n">
        <v>2</v>
      </c>
      <c r="B30" s="13" t="n">
        <v>50000000</v>
      </c>
      <c r="C30" s="22"/>
      <c r="D30" s="20"/>
      <c r="E30" s="10" t="str">
        <f aca="false">IF(COUNTBLANK(C30:D30)=2,"",IF(COUNTBLANK(C30:D30)&gt;0,"… làm tiếp",IFERROR(IF(AND(ROUND(C30,4)=ROUND(DapAn!$D$38,4),ROUND(D30,0)=ROUND(DapAn!$D$39,0)),"✔ Đúng","✘ Sai"),"✘ Sai")))</f>
        <v/>
      </c>
    </row>
    <row r="31" customFormat="false" ht="15" hidden="false" customHeight="false" outlineLevel="0" collapsed="false">
      <c r="A31" s="10" t="n">
        <v>3</v>
      </c>
      <c r="B31" s="13" t="n">
        <v>99000000</v>
      </c>
      <c r="C31" s="22"/>
      <c r="D31" s="20"/>
      <c r="E31" s="10" t="str">
        <f aca="false">IF(COUNTBLANK(C31:D31)=2,"",IF(COUNTBLANK(C31:D31)&gt;0,"… làm tiếp",IFERROR(IF(AND(ROUND(C31,4)=ROUND(DapAn!$D$40,4),ROUND(D31,0)=ROUND(DapAn!$D$41,0)),"✔ Đúng","✘ Sai"),"✘ Sai")))</f>
        <v/>
      </c>
    </row>
    <row r="32" customFormat="false" ht="15" hidden="false" customHeight="false" outlineLevel="0" collapsed="false">
      <c r="A32" s="10" t="n">
        <v>4</v>
      </c>
      <c r="B32" s="13" t="n">
        <v>185000000</v>
      </c>
      <c r="C32" s="22"/>
      <c r="D32" s="20"/>
      <c r="E32" s="10" t="str">
        <f aca="false">IF(COUNTBLANK(C32:D32)=2,"",IF(COUNTBLANK(C32:D32)&gt;0,"… làm tiếp",IFERROR(IF(AND(ROUND(C32,4)=ROUND(DapAn!$D$42,4),ROUND(D32,0)=ROUND(DapAn!$D$43,0)),"✔ Đúng","✘ Sai"),"✘ Sai")))</f>
        <v/>
      </c>
    </row>
    <row r="33" customFormat="false" ht="15" hidden="false" customHeight="false" outlineLevel="0" collapsed="false">
      <c r="A33" s="10" t="n">
        <v>5</v>
      </c>
      <c r="B33" s="13" t="n">
        <v>260000000</v>
      </c>
      <c r="C33" s="22"/>
      <c r="D33" s="20"/>
      <c r="E33" s="10" t="str">
        <f aca="false">IF(COUNTBLANK(C33:D33)=2,"",IF(COUNTBLANK(C33:D33)&gt;0,"… làm tiếp",IFERROR(IF(AND(ROUND(C33,4)=ROUND(DapAn!$D$44,4),ROUND(D33,0)=ROUND(DapAn!$D$45,0)),"✔ Đúng","✘ Sai"),"✘ Sai")))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7" t="s">
        <v>138</v>
      </c>
      <c r="B4" s="7" t="s">
        <v>139</v>
      </c>
      <c r="C4" s="7" t="s">
        <v>140</v>
      </c>
      <c r="D4" s="7" t="s">
        <v>141</v>
      </c>
      <c r="E4" s="7" t="s">
        <v>142</v>
      </c>
      <c r="F4" s="7" t="s">
        <v>127</v>
      </c>
    </row>
    <row r="5" customFormat="false" ht="23.85" hidden="false" customHeight="false" outlineLevel="0" collapsed="false">
      <c r="A5" s="16" t="s">
        <v>128</v>
      </c>
      <c r="B5" s="16" t="s">
        <v>143</v>
      </c>
      <c r="C5" s="17" t="s">
        <v>144</v>
      </c>
      <c r="D5" s="17" t="s">
        <v>145</v>
      </c>
      <c r="E5" s="18" t="n">
        <f aca="false">SUMIFS(DuLieu!$I$2:$I$51,DuLieu!$C$2:$C$51,"Nguyễn Văn An")</f>
        <v>112700000</v>
      </c>
      <c r="F5" s="17" t="s">
        <v>129</v>
      </c>
    </row>
    <row r="6" customFormat="false" ht="31.5" hidden="false" customHeight="true" outlineLevel="0" collapsed="false">
      <c r="A6" s="10" t="n">
        <v>1</v>
      </c>
      <c r="B6" s="10" t="s">
        <v>146</v>
      </c>
      <c r="C6" s="6" t="s">
        <v>147</v>
      </c>
      <c r="D6" s="6" t="s">
        <v>148</v>
      </c>
      <c r="E6" s="20"/>
      <c r="F6" s="10" t="str">
        <f aca="false">IF(E6="","",IF(ISERROR(ROUND(E6,2)=ROUND(DapAn!$D$46,2)),"✘ Sai",IF(ROUND(E6,2)=ROUND(DapAn!$D$46,2),"✔ Đúng","✘ Sai")))</f>
        <v/>
      </c>
    </row>
    <row r="7" customFormat="false" ht="31.5" hidden="false" customHeight="true" outlineLevel="0" collapsed="false">
      <c r="A7" s="10" t="n">
        <v>2</v>
      </c>
      <c r="B7" s="10" t="s">
        <v>146</v>
      </c>
      <c r="C7" s="6" t="s">
        <v>149</v>
      </c>
      <c r="D7" s="6" t="s">
        <v>150</v>
      </c>
      <c r="E7" s="20"/>
      <c r="F7" s="10" t="str">
        <f aca="false">IF(E7="","",IF(ISERROR(ROUND(E7,2)=ROUND(DapAn!$D$47,2)),"✘ Sai",IF(ROUND(E7,2)=ROUND(DapAn!$D$47,2),"✔ Đúng","✘ Sai")))</f>
        <v/>
      </c>
    </row>
    <row r="8" customFormat="false" ht="31.5" hidden="false" customHeight="true" outlineLevel="0" collapsed="false">
      <c r="A8" s="10" t="n">
        <v>3</v>
      </c>
      <c r="B8" s="10" t="s">
        <v>146</v>
      </c>
      <c r="C8" s="6" t="s">
        <v>151</v>
      </c>
      <c r="D8" s="6" t="s">
        <v>152</v>
      </c>
      <c r="E8" s="20"/>
      <c r="F8" s="10" t="str">
        <f aca="false">IF(E8="","",IF(ISERROR(ROUND(E8,2)=ROUND(DapAn!$D$48,2)),"✘ Sai",IF(ROUND(E8,2)=ROUND(DapAn!$D$48,2),"✔ Đúng","✘ Sai")))</f>
        <v/>
      </c>
    </row>
    <row r="9" customFormat="false" ht="31.5" hidden="false" customHeight="true" outlineLevel="0" collapsed="false">
      <c r="A9" s="10" t="n">
        <v>4</v>
      </c>
      <c r="B9" s="10" t="s">
        <v>153</v>
      </c>
      <c r="C9" s="6" t="s">
        <v>154</v>
      </c>
      <c r="D9" s="6" t="s">
        <v>155</v>
      </c>
      <c r="E9" s="20"/>
      <c r="F9" s="10" t="str">
        <f aca="false">IF(E9="","",IF(ISERROR(ROUND(E9,2)=ROUND(DapAn!$D$49,2)),"✘ Sai",IF(ROUND(E9,2)=ROUND(DapAn!$D$49,2),"✔ Đúng","✘ Sai")))</f>
        <v/>
      </c>
    </row>
    <row r="10" customFormat="false" ht="31.5" hidden="false" customHeight="true" outlineLevel="0" collapsed="false">
      <c r="A10" s="10" t="n">
        <v>5</v>
      </c>
      <c r="B10" s="10" t="s">
        <v>153</v>
      </c>
      <c r="C10" s="6" t="s">
        <v>156</v>
      </c>
      <c r="D10" s="6" t="s">
        <v>157</v>
      </c>
      <c r="E10" s="20"/>
      <c r="F10" s="10" t="str">
        <f aca="false">IF(E10="","",IF(ISERROR(ROUND(E10,2)=ROUND(DapAn!$D$50,2)),"✘ Sai",IF(ROUND(E10,2)=ROUND(DapAn!$D$50,2),"✔ Đúng","✘ Sai")))</f>
        <v/>
      </c>
    </row>
    <row r="11" customFormat="false" ht="31.5" hidden="false" customHeight="true" outlineLevel="0" collapsed="false">
      <c r="A11" s="10" t="n">
        <v>6</v>
      </c>
      <c r="B11" s="10" t="s">
        <v>158</v>
      </c>
      <c r="C11" s="6" t="s">
        <v>159</v>
      </c>
      <c r="D11" s="6" t="s">
        <v>160</v>
      </c>
      <c r="E11" s="20"/>
      <c r="F11" s="10" t="str">
        <f aca="false">IF(E11="","",IF(ISERROR(ROUND(E11,2)=ROUND(DapAn!$D$51,2)),"✘ Sai",IF(ROUND(E11,2)=ROUND(DapAn!$D$51,2),"✔ Đúng","✘ Sai")))</f>
        <v/>
      </c>
    </row>
    <row r="12" customFormat="false" ht="31.5" hidden="false" customHeight="true" outlineLevel="0" collapsed="false">
      <c r="A12" s="10" t="n">
        <v>7</v>
      </c>
      <c r="B12" s="10" t="s">
        <v>158</v>
      </c>
      <c r="C12" s="6" t="s">
        <v>161</v>
      </c>
      <c r="D12" s="6" t="s">
        <v>162</v>
      </c>
      <c r="E12" s="20"/>
      <c r="F12" s="10" t="str">
        <f aca="false">IF(E12="","",IF(ISERROR(ROUND(E12,2)=ROUND(DapAn!$D$52,2)),"✘ Sai",IF(ROUND(E12,2)=ROUND(DapAn!$D$52,2),"✔ Đúng","✘ Sai")))</f>
        <v/>
      </c>
    </row>
    <row r="15" customFormat="false" ht="15" hidden="false" customHeight="false" outlineLevel="0" collapsed="false">
      <c r="A15" s="3" t="s">
        <v>163</v>
      </c>
    </row>
    <row r="16" customFormat="false" ht="15" hidden="false" customHeight="false" outlineLevel="0" collapsed="false">
      <c r="A16" s="9" t="s">
        <v>164</v>
      </c>
    </row>
    <row r="17" customFormat="false" ht="15" hidden="false" customHeight="false" outlineLevel="0" collapsed="false">
      <c r="A17" s="7" t="s">
        <v>28</v>
      </c>
      <c r="B17" s="7" t="s">
        <v>48</v>
      </c>
      <c r="C17" s="7" t="s">
        <v>38</v>
      </c>
      <c r="D17" s="7" t="s">
        <v>43</v>
      </c>
    </row>
    <row r="18" customFormat="false" ht="15" hidden="false" customHeight="false" outlineLevel="0" collapsed="false">
      <c r="A18" s="5" t="s">
        <v>46</v>
      </c>
      <c r="B18" s="20"/>
      <c r="C18" s="20"/>
      <c r="D18" s="20"/>
    </row>
    <row r="19" customFormat="false" ht="15" hidden="false" customHeight="false" outlineLevel="0" collapsed="false">
      <c r="A19" s="5" t="s">
        <v>36</v>
      </c>
      <c r="B19" s="20"/>
      <c r="C19" s="20"/>
      <c r="D19" s="20"/>
    </row>
    <row r="20" customFormat="false" ht="15" hidden="false" customHeight="false" outlineLevel="0" collapsed="false">
      <c r="A20" s="5" t="s">
        <v>41</v>
      </c>
      <c r="B20" s="20"/>
      <c r="C20" s="20"/>
      <c r="D20" s="20"/>
    </row>
    <row r="21" customFormat="false" ht="15" hidden="false" customHeight="false" outlineLevel="0" collapsed="false">
      <c r="A21" s="23" t="s">
        <v>165</v>
      </c>
      <c r="B21" s="23" t="str">
        <f aca="false">IF(COUNT(B18:D20)=0,"",IF(COUNT(B18:D20)&lt;9,"… còn "&amp;(9-COUNT(B18:D20))&amp;" ô trống",IF((ROUND(B18,0)=ROUND(DapAn!$D$53,0))+(ROUND(C18,0)=ROUND(DapAn!$D$54,0))+(ROUND(D18,0)=ROUND(DapAn!$D$55,0))+(ROUND(B19,0)=ROUND(DapAn!$D$56,0))+(ROUND(C19,0)=ROUND(DapAn!$D$57,0))+(ROUND(D19,0)=ROUND(DapAn!$D$58,0))+(ROUND(B20,0)=ROUND(DapAn!$D$59,0))+(ROUND(C20,0)=ROUND(DapAn!$D$60,0))+(ROUND(D20,0)=ROUND(DapAn!$D$61,0))=9,"✔ Đúng hết","✘ Sai "&amp;(9-((ROUND(B18,0)=ROUND(DapAn!$D$53,0))+(ROUND(C18,0)=ROUND(DapAn!$D$54,0))+(ROUND(D18,0)=ROUND(DapAn!$D$55,0))+(ROUND(B19,0)=ROUND(DapAn!$D$56,0))+(ROUND(C19,0)=ROUND(DapAn!$D$57,0))+(ROUND(D19,0)=ROUND(DapAn!$D$58,0))+(ROUND(B20,0)=ROUND(DapAn!$D$59,0))+(ROUND(C20,0)=ROUND(DapAn!$D$60,0))+(ROUND(D20,0)=ROUND(DapAn!$D$61,0))))&amp;" ô")))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7" t="s">
        <v>138</v>
      </c>
      <c r="B4" s="7" t="s">
        <v>139</v>
      </c>
      <c r="C4" s="7" t="s">
        <v>140</v>
      </c>
      <c r="D4" s="7" t="s">
        <v>141</v>
      </c>
      <c r="E4" s="7" t="s">
        <v>142</v>
      </c>
      <c r="F4" s="7" t="s">
        <v>127</v>
      </c>
    </row>
    <row r="5" customFormat="false" ht="23.85" hidden="false" customHeight="false" outlineLevel="0" collapsed="false">
      <c r="A5" s="16" t="s">
        <v>128</v>
      </c>
      <c r="B5" s="16" t="s">
        <v>143</v>
      </c>
      <c r="C5" s="17" t="s">
        <v>168</v>
      </c>
      <c r="D5" s="17" t="s">
        <v>169</v>
      </c>
      <c r="E5" s="18" t="n">
        <f aca="false">COUNTIFS(DuLieu!$D$2:$D$51,"Hà Nội")</f>
        <v>14</v>
      </c>
      <c r="F5" s="17" t="s">
        <v>129</v>
      </c>
    </row>
    <row r="6" customFormat="false" ht="31.5" hidden="false" customHeight="true" outlineLevel="0" collapsed="false">
      <c r="A6" s="10" t="n">
        <v>1</v>
      </c>
      <c r="B6" s="10" t="s">
        <v>146</v>
      </c>
      <c r="C6" s="6" t="s">
        <v>170</v>
      </c>
      <c r="D6" s="6" t="s">
        <v>171</v>
      </c>
      <c r="E6" s="20"/>
      <c r="F6" s="10" t="str">
        <f aca="false">IF(E6="","",IF(ISERROR(ROUND(E6,2)=ROUND(DapAn!$D$62,2)),"✘ Sai",IF(ROUND(E6,2)=ROUND(DapAn!$D$62,2),"✔ Đúng","✘ Sai")))</f>
        <v/>
      </c>
    </row>
    <row r="7" customFormat="false" ht="31.5" hidden="false" customHeight="true" outlineLevel="0" collapsed="false">
      <c r="A7" s="10" t="n">
        <v>2</v>
      </c>
      <c r="B7" s="10" t="s">
        <v>146</v>
      </c>
      <c r="C7" s="6" t="s">
        <v>172</v>
      </c>
      <c r="D7" s="6" t="s">
        <v>173</v>
      </c>
      <c r="E7" s="20"/>
      <c r="F7" s="10" t="str">
        <f aca="false">IF(E7="","",IF(ISERROR(ROUND(E7,2)=ROUND(DapAn!$D$63,2)),"✘ Sai",IF(ROUND(E7,2)=ROUND(DapAn!$D$63,2),"✔ Đúng","✘ Sai")))</f>
        <v/>
      </c>
    </row>
    <row r="8" customFormat="false" ht="31.5" hidden="false" customHeight="true" outlineLevel="0" collapsed="false">
      <c r="A8" s="10" t="n">
        <v>3</v>
      </c>
      <c r="B8" s="10" t="s">
        <v>146</v>
      </c>
      <c r="C8" s="6" t="s">
        <v>174</v>
      </c>
      <c r="D8" s="6" t="s">
        <v>175</v>
      </c>
      <c r="E8" s="20"/>
      <c r="F8" s="10" t="str">
        <f aca="false">IF(E8="","",IF(ISERROR(ROUND(E8,2)=ROUND(DapAn!$D$64,2)),"✘ Sai",IF(ROUND(E8,2)=ROUND(DapAn!$D$64,2),"✔ Đúng","✘ Sai")))</f>
        <v/>
      </c>
    </row>
    <row r="9" customFormat="false" ht="31.5" hidden="false" customHeight="true" outlineLevel="0" collapsed="false">
      <c r="A9" s="10" t="n">
        <v>4</v>
      </c>
      <c r="B9" s="10" t="s">
        <v>153</v>
      </c>
      <c r="C9" s="6" t="s">
        <v>176</v>
      </c>
      <c r="D9" s="6" t="s">
        <v>177</v>
      </c>
      <c r="E9" s="20"/>
      <c r="F9" s="10" t="str">
        <f aca="false">IF(E9="","",IF(ISERROR(ROUND(E9,2)=ROUND(DapAn!$D$65,2)),"✘ Sai",IF(ROUND(E9,2)=ROUND(DapAn!$D$65,2),"✔ Đúng","✘ Sai")))</f>
        <v/>
      </c>
    </row>
    <row r="10" customFormat="false" ht="31.5" hidden="false" customHeight="true" outlineLevel="0" collapsed="false">
      <c r="A10" s="10" t="n">
        <v>5</v>
      </c>
      <c r="B10" s="10" t="s">
        <v>153</v>
      </c>
      <c r="C10" s="6" t="s">
        <v>178</v>
      </c>
      <c r="D10" s="6" t="s">
        <v>179</v>
      </c>
      <c r="E10" s="20"/>
      <c r="F10" s="10" t="str">
        <f aca="false">IF(E10="","",IF(ISERROR(ROUND(E10,2)=ROUND(DapAn!$D$66,2)),"✘ Sai",IF(ROUND(E10,2)=ROUND(DapAn!$D$66,2),"✔ Đúng","✘ Sai")))</f>
        <v/>
      </c>
    </row>
    <row r="11" customFormat="false" ht="31.5" hidden="false" customHeight="true" outlineLevel="0" collapsed="false">
      <c r="A11" s="10" t="n">
        <v>6</v>
      </c>
      <c r="B11" s="10" t="s">
        <v>158</v>
      </c>
      <c r="C11" s="6" t="s">
        <v>180</v>
      </c>
      <c r="D11" s="6" t="s">
        <v>181</v>
      </c>
      <c r="E11" s="20"/>
      <c r="F11" s="10" t="str">
        <f aca="false">IF(E11="","",IF(ISERROR(ROUND(E11,2)=ROUND(DapAn!$D$67,2)),"✘ Sai",IF(ROUND(E11,2)=ROUND(DapAn!$D$67,2),"✔ Đúng","✘ Sai")))</f>
        <v/>
      </c>
    </row>
    <row r="12" customFormat="false" ht="31.5" hidden="false" customHeight="true" outlineLevel="0" collapsed="false">
      <c r="A12" s="10" t="n">
        <v>7</v>
      </c>
      <c r="B12" s="10" t="s">
        <v>158</v>
      </c>
      <c r="C12" s="6" t="s">
        <v>182</v>
      </c>
      <c r="D12" s="6" t="s">
        <v>183</v>
      </c>
      <c r="E12" s="20"/>
      <c r="F12" s="10" t="str">
        <f aca="false">IF(E12="","",IF(ISERROR(ROUND(E12,2)=ROUND(DapAn!$D$68,2)),"✘ Sai",IF(ROUND(E12,2)=ROUND(DapAn!$D$68,2),"✔ Đúng","✘ Sai")))</f>
        <v/>
      </c>
    </row>
    <row r="15" customFormat="false" ht="15" hidden="false" customHeight="false" outlineLevel="0" collapsed="false">
      <c r="A15" s="3" t="s">
        <v>184</v>
      </c>
    </row>
    <row r="16" customFormat="false" ht="15" hidden="false" customHeight="false" outlineLevel="0" collapsed="false">
      <c r="A16" s="9" t="s">
        <v>164</v>
      </c>
    </row>
    <row r="17" customFormat="false" ht="15" hidden="false" customHeight="false" outlineLevel="0" collapsed="false">
      <c r="A17" s="7" t="s">
        <v>27</v>
      </c>
      <c r="B17" s="7" t="s">
        <v>48</v>
      </c>
      <c r="C17" s="7" t="s">
        <v>38</v>
      </c>
      <c r="D17" s="7" t="s">
        <v>43</v>
      </c>
    </row>
    <row r="18" customFormat="false" ht="15" hidden="false" customHeight="false" outlineLevel="0" collapsed="false">
      <c r="A18" s="5" t="s">
        <v>63</v>
      </c>
      <c r="B18" s="20"/>
      <c r="C18" s="20"/>
      <c r="D18" s="20"/>
    </row>
    <row r="19" customFormat="false" ht="15" hidden="false" customHeight="false" outlineLevel="0" collapsed="false">
      <c r="A19" s="5" t="s">
        <v>45</v>
      </c>
      <c r="B19" s="20"/>
      <c r="C19" s="20"/>
      <c r="D19" s="20"/>
    </row>
    <row r="20" customFormat="false" ht="15" hidden="false" customHeight="false" outlineLevel="0" collapsed="false">
      <c r="A20" s="5" t="s">
        <v>35</v>
      </c>
      <c r="B20" s="20"/>
      <c r="C20" s="20"/>
      <c r="D20" s="20"/>
    </row>
    <row r="21" customFormat="false" ht="15" hidden="false" customHeight="false" outlineLevel="0" collapsed="false">
      <c r="A21" s="5" t="s">
        <v>51</v>
      </c>
      <c r="B21" s="20"/>
      <c r="C21" s="20"/>
      <c r="D21" s="20"/>
    </row>
    <row r="22" customFormat="false" ht="15" hidden="false" customHeight="false" outlineLevel="0" collapsed="false">
      <c r="A22" s="5" t="s">
        <v>40</v>
      </c>
      <c r="B22" s="20"/>
      <c r="C22" s="20"/>
      <c r="D22" s="20"/>
    </row>
    <row r="23" customFormat="false" ht="15" hidden="false" customHeight="false" outlineLevel="0" collapsed="false">
      <c r="A23" s="23" t="s">
        <v>165</v>
      </c>
      <c r="B23" s="23" t="str">
        <f aca="false">IF(COUNT(B18:D22)=0,"",IF(COUNT(B18:D22)&lt;15,"… còn "&amp;(15-COUNT(B18:D22))&amp;" ô trống",IF((ROUND(B18,0)=ROUND(DapAn!$D$69,0))+(ROUND(C18,0)=ROUND(DapAn!$D$70,0))+(ROUND(D18,0)=ROUND(DapAn!$D$71,0))+(ROUND(B19,0)=ROUND(DapAn!$D$72,0))+(ROUND(C19,0)=ROUND(DapAn!$D$73,0))+(ROUND(D19,0)=ROUND(DapAn!$D$74,0))+(ROUND(B20,0)=ROUND(DapAn!$D$75,0))+(ROUND(C20,0)=ROUND(DapAn!$D$76,0))+(ROUND(D20,0)=ROUND(DapAn!$D$77,0))+(ROUND(B21,0)=ROUND(DapAn!$D$78,0))+(ROUND(C21,0)=ROUND(DapAn!$D$79,0))+(ROUND(D21,0)=ROUND(DapAn!$D$80,0))+(ROUND(B22,0)=ROUND(DapAn!$D$81,0))+(ROUND(C22,0)=ROUND(DapAn!$D$82,0))+(ROUND(D22,0)=ROUND(DapAn!$D$83,0))=15,"✔ Đúng hết","✘ Sai "&amp;(15-((ROUND(B18,0)=ROUND(DapAn!$D$69,0))+(ROUND(C18,0)=ROUND(DapAn!$D$70,0))+(ROUND(D18,0)=ROUND(DapAn!$D$71,0))+(ROUND(B19,0)=ROUND(DapAn!$D$72,0))+(ROUND(C19,0)=ROUND(DapAn!$D$73,0))+(ROUND(D19,0)=ROUND(DapAn!$D$74,0))+(ROUND(B20,0)=ROUND(DapAn!$D$75,0))+(ROUND(C20,0)=ROUND(DapAn!$D$76,0))+(ROUND(D20,0)=ROUND(DapAn!$D$77,0))+(ROUND(B21,0)=ROUND(DapAn!$D$78,0))+(ROUND(C21,0)=ROUND(DapAn!$D$79,0))+(ROUND(D21,0)=ROUND(DapAn!$D$80,0))+(ROUND(B22,0)=ROUND(DapAn!$D$81,0))+(ROUND(C22,0)=ROUND(DapAn!$D$82,0))+(ROUND(D22,0)=ROUND(DapAn!$D$83,0))))&amp;" ô")))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95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7" t="s">
        <v>187</v>
      </c>
      <c r="B4" s="7" t="s">
        <v>188</v>
      </c>
      <c r="C4" s="7" t="s">
        <v>189</v>
      </c>
      <c r="D4" s="7" t="s">
        <v>190</v>
      </c>
    </row>
    <row r="5" customFormat="false" ht="15" hidden="false" customHeight="false" outlineLevel="0" collapsed="false">
      <c r="A5" s="6" t="s">
        <v>191</v>
      </c>
      <c r="B5" s="6" t="s">
        <v>192</v>
      </c>
      <c r="C5" s="24" t="s">
        <v>193</v>
      </c>
      <c r="D5" s="6" t="str">
        <f aca="false">VLOOKUP(BT_VLOOKUP!B7,DanhMuc!$A$2:$D$9,2,FALSE())</f>
        <v>Chuột Logitech</v>
      </c>
    </row>
    <row r="6" customFormat="false" ht="15" hidden="false" customHeight="false" outlineLevel="0" collapsed="false">
      <c r="A6" s="6" t="s">
        <v>191</v>
      </c>
      <c r="B6" s="6" t="s">
        <v>194</v>
      </c>
      <c r="C6" s="24" t="s">
        <v>195</v>
      </c>
      <c r="D6" s="13" t="n">
        <f aca="false">VLOOKUP(BT_VLOOKUP!B7,DanhMuc!$A$2:$D$9,4,FALSE())</f>
        <v>350000</v>
      </c>
    </row>
    <row r="7" customFormat="false" ht="15" hidden="false" customHeight="false" outlineLevel="0" collapsed="false">
      <c r="A7" s="6" t="s">
        <v>191</v>
      </c>
      <c r="B7" s="6" t="s">
        <v>196</v>
      </c>
      <c r="C7" s="24" t="s">
        <v>197</v>
      </c>
      <c r="D7" s="13" t="n">
        <f aca="false">BT_VLOOKUP!C7*VLOOKUP(BT_VLOOKUP!B7,DanhMuc!$A$2:$D$9,4,FALSE())</f>
        <v>1050000</v>
      </c>
    </row>
    <row r="8" customFormat="false" ht="15" hidden="false" customHeight="false" outlineLevel="0" collapsed="false">
      <c r="A8" s="6" t="s">
        <v>191</v>
      </c>
      <c r="B8" s="6" t="s">
        <v>198</v>
      </c>
      <c r="C8" s="24" t="s">
        <v>199</v>
      </c>
      <c r="D8" s="6" t="str">
        <f aca="false">VLOOKUP(BT_VLOOKUP!B8,DanhMuc!$A$2:$D$9,2,FALSE())</f>
        <v>Giấy A4 (ram)</v>
      </c>
    </row>
    <row r="9" customFormat="false" ht="15" hidden="false" customHeight="false" outlineLevel="0" collapsed="false">
      <c r="A9" s="6" t="s">
        <v>191</v>
      </c>
      <c r="B9" s="6" t="s">
        <v>200</v>
      </c>
      <c r="C9" s="24" t="s">
        <v>201</v>
      </c>
      <c r="D9" s="13" t="n">
        <f aca="false">VLOOKUP(BT_VLOOKUP!B8,DanhMuc!$A$2:$D$9,4,FALSE())</f>
        <v>75000</v>
      </c>
    </row>
    <row r="10" customFormat="false" ht="15" hidden="false" customHeight="false" outlineLevel="0" collapsed="false">
      <c r="A10" s="6" t="s">
        <v>191</v>
      </c>
      <c r="B10" s="6" t="s">
        <v>202</v>
      </c>
      <c r="C10" s="24" t="s">
        <v>203</v>
      </c>
      <c r="D10" s="13" t="n">
        <f aca="false">BT_VLOOKUP!C8*VLOOKUP(BT_VLOOKUP!B8,DanhMuc!$A$2:$D$9,4,FALSE())</f>
        <v>1500000</v>
      </c>
    </row>
    <row r="11" customFormat="false" ht="15" hidden="false" customHeight="false" outlineLevel="0" collapsed="false">
      <c r="A11" s="6" t="s">
        <v>191</v>
      </c>
      <c r="B11" s="6" t="s">
        <v>204</v>
      </c>
      <c r="C11" s="24" t="s">
        <v>205</v>
      </c>
      <c r="D11" s="6" t="str">
        <f aca="false">VLOOKUP(BT_VLOOKUP!B9,DanhMuc!$A$2:$D$9,2,FALSE())</f>
        <v>Laptop Dell Inspiron</v>
      </c>
    </row>
    <row r="12" customFormat="false" ht="15" hidden="false" customHeight="false" outlineLevel="0" collapsed="false">
      <c r="A12" s="6" t="s">
        <v>191</v>
      </c>
      <c r="B12" s="6" t="s">
        <v>206</v>
      </c>
      <c r="C12" s="24" t="s">
        <v>207</v>
      </c>
      <c r="D12" s="13" t="n">
        <f aca="false">VLOOKUP(BT_VLOOKUP!B9,DanhMuc!$A$2:$D$9,4,FALSE())</f>
        <v>15500000</v>
      </c>
    </row>
    <row r="13" customFormat="false" ht="15" hidden="false" customHeight="false" outlineLevel="0" collapsed="false">
      <c r="A13" s="6" t="s">
        <v>191</v>
      </c>
      <c r="B13" s="6" t="s">
        <v>208</v>
      </c>
      <c r="C13" s="24" t="s">
        <v>209</v>
      </c>
      <c r="D13" s="13" t="n">
        <f aca="false">BT_VLOOKUP!C9*VLOOKUP(BT_VLOOKUP!B9,DanhMuc!$A$2:$D$9,4,FALSE())</f>
        <v>15500000</v>
      </c>
    </row>
    <row r="14" customFormat="false" ht="15" hidden="false" customHeight="false" outlineLevel="0" collapsed="false">
      <c r="A14" s="6" t="s">
        <v>191</v>
      </c>
      <c r="B14" s="6" t="s">
        <v>210</v>
      </c>
      <c r="C14" s="24" t="s">
        <v>211</v>
      </c>
      <c r="D14" s="6" t="str">
        <f aca="false">VLOOKUP(BT_VLOOKUP!B10,DanhMuc!$A$2:$D$9,2,FALSE())</f>
        <v>Tai nghe Sony</v>
      </c>
    </row>
    <row r="15" customFormat="false" ht="15" hidden="false" customHeight="false" outlineLevel="0" collapsed="false">
      <c r="A15" s="6" t="s">
        <v>191</v>
      </c>
      <c r="B15" s="6" t="s">
        <v>212</v>
      </c>
      <c r="C15" s="24" t="s">
        <v>213</v>
      </c>
      <c r="D15" s="13" t="n">
        <f aca="false">VLOOKUP(BT_VLOOKUP!B10,DanhMuc!$A$2:$D$9,4,FALSE())</f>
        <v>2100000</v>
      </c>
    </row>
    <row r="16" customFormat="false" ht="15" hidden="false" customHeight="false" outlineLevel="0" collapsed="false">
      <c r="A16" s="6" t="s">
        <v>191</v>
      </c>
      <c r="B16" s="6" t="s">
        <v>214</v>
      </c>
      <c r="C16" s="24" t="s">
        <v>215</v>
      </c>
      <c r="D16" s="13" t="n">
        <f aca="false">BT_VLOOKUP!C10*VLOOKUP(BT_VLOOKUP!B10,DanhMuc!$A$2:$D$9,4,FALSE())</f>
        <v>8400000</v>
      </c>
    </row>
    <row r="17" customFormat="false" ht="15" hidden="false" customHeight="false" outlineLevel="0" collapsed="false">
      <c r="A17" s="6" t="s">
        <v>191</v>
      </c>
      <c r="B17" s="6" t="s">
        <v>216</v>
      </c>
      <c r="C17" s="24" t="s">
        <v>217</v>
      </c>
      <c r="D17" s="6" t="str">
        <f aca="false">VLOOKUP(BT_VLOOKUP!B11,DanhMuc!$A$2:$D$9,2,FALSE())</f>
        <v>Điện thoại Samsung A55</v>
      </c>
    </row>
    <row r="18" customFormat="false" ht="15" hidden="false" customHeight="false" outlineLevel="0" collapsed="false">
      <c r="A18" s="6" t="s">
        <v>191</v>
      </c>
      <c r="B18" s="6" t="s">
        <v>218</v>
      </c>
      <c r="C18" s="24" t="s">
        <v>219</v>
      </c>
      <c r="D18" s="13" t="n">
        <f aca="false">VLOOKUP(BT_VLOOKUP!B11,DanhMuc!$A$2:$D$9,4,FALSE())</f>
        <v>9200000</v>
      </c>
    </row>
    <row r="19" customFormat="false" ht="15" hidden="false" customHeight="false" outlineLevel="0" collapsed="false">
      <c r="A19" s="6" t="s">
        <v>191</v>
      </c>
      <c r="B19" s="6" t="s">
        <v>220</v>
      </c>
      <c r="C19" s="24" t="s">
        <v>221</v>
      </c>
      <c r="D19" s="13" t="n">
        <f aca="false">BT_VLOOKUP!C11*VLOOKUP(BT_VLOOKUP!B11,DanhMuc!$A$2:$D$9,4,FALSE())</f>
        <v>18400000</v>
      </c>
    </row>
    <row r="20" customFormat="false" ht="15" hidden="false" customHeight="false" outlineLevel="0" collapsed="false">
      <c r="A20" s="6" t="s">
        <v>191</v>
      </c>
      <c r="B20" s="6" t="s">
        <v>222</v>
      </c>
      <c r="C20" s="24" t="s">
        <v>223</v>
      </c>
      <c r="D20" s="6" t="str">
        <f aca="false">VLOOKUP(BT_VLOOKUP!B12,DanhMuc!$A$2:$D$9,2,FALSE())</f>
        <v>Bàn phím cơ</v>
      </c>
    </row>
    <row r="21" customFormat="false" ht="15" hidden="false" customHeight="false" outlineLevel="0" collapsed="false">
      <c r="A21" s="6" t="s">
        <v>191</v>
      </c>
      <c r="B21" s="6" t="s">
        <v>224</v>
      </c>
      <c r="C21" s="24" t="s">
        <v>225</v>
      </c>
      <c r="D21" s="13" t="n">
        <f aca="false">VLOOKUP(BT_VLOOKUP!B12,DanhMuc!$A$2:$D$9,4,FALSE())</f>
        <v>1200000</v>
      </c>
    </row>
    <row r="22" customFormat="false" ht="15" hidden="false" customHeight="false" outlineLevel="0" collapsed="false">
      <c r="A22" s="6" t="s">
        <v>191</v>
      </c>
      <c r="B22" s="6" t="s">
        <v>226</v>
      </c>
      <c r="C22" s="24" t="s">
        <v>227</v>
      </c>
      <c r="D22" s="13" t="n">
        <f aca="false">BT_VLOOKUP!C12*VLOOKUP(BT_VLOOKUP!B12,DanhMuc!$A$2:$D$9,4,FALSE())</f>
        <v>6000000</v>
      </c>
    </row>
    <row r="23" customFormat="false" ht="15" hidden="false" customHeight="false" outlineLevel="0" collapsed="false">
      <c r="A23" s="6" t="s">
        <v>191</v>
      </c>
      <c r="B23" s="6" t="s">
        <v>228</v>
      </c>
      <c r="C23" s="24" t="s">
        <v>229</v>
      </c>
      <c r="D23" s="6" t="str">
        <f aca="false">VLOOKUP(BT_VLOOKUP!B13,DanhMuc!$A$2:$D$9,2,FALSE())</f>
        <v>Máy in Canon</v>
      </c>
    </row>
    <row r="24" customFormat="false" ht="15" hidden="false" customHeight="false" outlineLevel="0" collapsed="false">
      <c r="A24" s="6" t="s">
        <v>191</v>
      </c>
      <c r="B24" s="6" t="s">
        <v>230</v>
      </c>
      <c r="C24" s="24" t="s">
        <v>231</v>
      </c>
      <c r="D24" s="13" t="n">
        <f aca="false">VLOOKUP(BT_VLOOKUP!B13,DanhMuc!$A$2:$D$9,4,FALSE())</f>
        <v>4500000</v>
      </c>
    </row>
    <row r="25" customFormat="false" ht="15" hidden="false" customHeight="false" outlineLevel="0" collapsed="false">
      <c r="A25" s="6" t="s">
        <v>191</v>
      </c>
      <c r="B25" s="6" t="s">
        <v>232</v>
      </c>
      <c r="C25" s="24" t="s">
        <v>233</v>
      </c>
      <c r="D25" s="13" t="n">
        <f aca="false">BT_VLOOKUP!C13*VLOOKUP(BT_VLOOKUP!B13,DanhMuc!$A$2:$D$9,4,FALSE())</f>
        <v>4500000</v>
      </c>
    </row>
    <row r="26" customFormat="false" ht="15" hidden="false" customHeight="false" outlineLevel="0" collapsed="false">
      <c r="A26" s="6" t="s">
        <v>234</v>
      </c>
      <c r="B26" s="6" t="s">
        <v>235</v>
      </c>
      <c r="C26" s="24" t="s">
        <v>236</v>
      </c>
      <c r="D26" s="6" t="str">
        <f aca="false">IFERROR(VLOOKUP(BT_VLOOKUP!B19,DanhMuc!$F$2:$H$6,2,FALSE()),"Không tìm thấy")</f>
        <v>Phạm Thu Dung</v>
      </c>
    </row>
    <row r="27" customFormat="false" ht="15" hidden="false" customHeight="false" outlineLevel="0" collapsed="false">
      <c r="A27" s="6" t="s">
        <v>234</v>
      </c>
      <c r="B27" s="6" t="s">
        <v>237</v>
      </c>
      <c r="C27" s="24" t="s">
        <v>238</v>
      </c>
      <c r="D27" s="6" t="str">
        <f aca="false">IFERROR(VLOOKUP(BT_VLOOKUP!B19,DanhMuc!$F$2:$H$6,3,FALSE()),"Không tìm thấy")</f>
        <v>TP.HCM</v>
      </c>
    </row>
    <row r="28" customFormat="false" ht="15" hidden="false" customHeight="false" outlineLevel="0" collapsed="false">
      <c r="A28" s="6" t="s">
        <v>234</v>
      </c>
      <c r="B28" s="6" t="s">
        <v>239</v>
      </c>
      <c r="C28" s="24" t="s">
        <v>240</v>
      </c>
      <c r="D28" s="6" t="str">
        <f aca="false">IFERROR(VLOOKUP(BT_VLOOKUP!B20,DanhMuc!$F$2:$H$6,2,FALSE()),"Không tìm thấy")</f>
        <v>Trần Thị Bình</v>
      </c>
    </row>
    <row r="29" customFormat="false" ht="15" hidden="false" customHeight="false" outlineLevel="0" collapsed="false">
      <c r="A29" s="6" t="s">
        <v>234</v>
      </c>
      <c r="B29" s="6" t="s">
        <v>241</v>
      </c>
      <c r="C29" s="24" t="s">
        <v>242</v>
      </c>
      <c r="D29" s="6" t="str">
        <f aca="false">IFERROR(VLOOKUP(BT_VLOOKUP!B20,DanhMuc!$F$2:$H$6,3,FALSE()),"Không tìm thấy")</f>
        <v>Hà Nội</v>
      </c>
    </row>
    <row r="30" customFormat="false" ht="15" hidden="false" customHeight="false" outlineLevel="0" collapsed="false">
      <c r="A30" s="6" t="s">
        <v>234</v>
      </c>
      <c r="B30" s="6" t="s">
        <v>243</v>
      </c>
      <c r="C30" s="24" t="s">
        <v>244</v>
      </c>
      <c r="D30" s="6" t="str">
        <f aca="false">IFERROR(VLOOKUP(BT_VLOOKUP!B21,DanhMuc!$F$2:$H$6,2,FALSE()),"Không tìm thấy")</f>
        <v>Không tìm thấy</v>
      </c>
    </row>
    <row r="31" customFormat="false" ht="15" hidden="false" customHeight="false" outlineLevel="0" collapsed="false">
      <c r="A31" s="6" t="s">
        <v>234</v>
      </c>
      <c r="B31" s="6" t="s">
        <v>245</v>
      </c>
      <c r="C31" s="24" t="s">
        <v>246</v>
      </c>
      <c r="D31" s="6" t="str">
        <f aca="false">IFERROR(VLOOKUP(BT_VLOOKUP!B21,DanhMuc!$F$2:$H$6,3,FALSE()),"Không tìm thấy")</f>
        <v>Không tìm thấy</v>
      </c>
    </row>
    <row r="32" customFormat="false" ht="15" hidden="false" customHeight="false" outlineLevel="0" collapsed="false">
      <c r="A32" s="6" t="s">
        <v>234</v>
      </c>
      <c r="B32" s="6" t="s">
        <v>247</v>
      </c>
      <c r="C32" s="24" t="s">
        <v>248</v>
      </c>
      <c r="D32" s="6" t="str">
        <f aca="false">IFERROR(VLOOKUP(BT_VLOOKUP!B22,DanhMuc!$F$2:$H$6,2,FALSE()),"Không tìm thấy")</f>
        <v>Hoàng Thị Em</v>
      </c>
    </row>
    <row r="33" customFormat="false" ht="15" hidden="false" customHeight="false" outlineLevel="0" collapsed="false">
      <c r="A33" s="6" t="s">
        <v>234</v>
      </c>
      <c r="B33" s="6" t="s">
        <v>249</v>
      </c>
      <c r="C33" s="24" t="s">
        <v>250</v>
      </c>
      <c r="D33" s="6" t="str">
        <f aca="false">IFERROR(VLOOKUP(BT_VLOOKUP!B22,DanhMuc!$F$2:$H$6,3,FALSE()),"Không tìm thấy")</f>
        <v>TP.HCM</v>
      </c>
    </row>
    <row r="34" customFormat="false" ht="15" hidden="false" customHeight="false" outlineLevel="0" collapsed="false">
      <c r="A34" s="6" t="s">
        <v>234</v>
      </c>
      <c r="B34" s="6" t="s">
        <v>251</v>
      </c>
      <c r="C34" s="24" t="s">
        <v>252</v>
      </c>
      <c r="D34" s="6" t="str">
        <f aca="false">IFERROR(VLOOKUP(BT_VLOOKUP!B23,DanhMuc!$F$2:$H$6,2,FALSE()),"Không tìm thấy")</f>
        <v>Lê Hoàng Cường</v>
      </c>
    </row>
    <row r="35" customFormat="false" ht="15" hidden="false" customHeight="false" outlineLevel="0" collapsed="false">
      <c r="A35" s="6" t="s">
        <v>234</v>
      </c>
      <c r="B35" s="6" t="s">
        <v>253</v>
      </c>
      <c r="C35" s="24" t="s">
        <v>254</v>
      </c>
      <c r="D35" s="6" t="str">
        <f aca="false">IFERROR(VLOOKUP(BT_VLOOKUP!B23,DanhMuc!$F$2:$H$6,3,FALSE()),"Không tìm thấy")</f>
        <v>Đà Nẵng</v>
      </c>
    </row>
    <row r="36" customFormat="false" ht="15" hidden="false" customHeight="false" outlineLevel="0" collapsed="false">
      <c r="A36" s="6" t="s">
        <v>255</v>
      </c>
      <c r="B36" s="6" t="s">
        <v>256</v>
      </c>
      <c r="C36" s="24" t="s">
        <v>257</v>
      </c>
      <c r="D36" s="14" t="n">
        <f aca="false">VLOOKUP(BT_VLOOKUP!B29,DanhMuc!$J$2:$K$5,2,TRUE())</f>
        <v>0</v>
      </c>
    </row>
    <row r="37" customFormat="false" ht="15" hidden="false" customHeight="false" outlineLevel="0" collapsed="false">
      <c r="A37" s="6" t="s">
        <v>255</v>
      </c>
      <c r="B37" s="6" t="s">
        <v>258</v>
      </c>
      <c r="C37" s="24" t="s">
        <v>259</v>
      </c>
      <c r="D37" s="13" t="n">
        <f aca="false">BT_VLOOKUP!B29*VLOOKUP(BT_VLOOKUP!B29,DanhMuc!$J$2:$K$5,2,TRUE())</f>
        <v>0</v>
      </c>
    </row>
    <row r="38" customFormat="false" ht="15" hidden="false" customHeight="false" outlineLevel="0" collapsed="false">
      <c r="A38" s="6" t="s">
        <v>255</v>
      </c>
      <c r="B38" s="6" t="s">
        <v>260</v>
      </c>
      <c r="C38" s="24" t="s">
        <v>261</v>
      </c>
      <c r="D38" s="14" t="n">
        <f aca="false">VLOOKUP(BT_VLOOKUP!B30,DanhMuc!$J$2:$K$5,2,TRUE())</f>
        <v>0.02</v>
      </c>
    </row>
    <row r="39" customFormat="false" ht="15" hidden="false" customHeight="false" outlineLevel="0" collapsed="false">
      <c r="A39" s="6" t="s">
        <v>255</v>
      </c>
      <c r="B39" s="6" t="s">
        <v>262</v>
      </c>
      <c r="C39" s="24" t="s">
        <v>263</v>
      </c>
      <c r="D39" s="13" t="n">
        <f aca="false">BT_VLOOKUP!B30*VLOOKUP(BT_VLOOKUP!B30,DanhMuc!$J$2:$K$5,2,TRUE())</f>
        <v>1000000</v>
      </c>
    </row>
    <row r="40" customFormat="false" ht="15" hidden="false" customHeight="false" outlineLevel="0" collapsed="false">
      <c r="A40" s="6" t="s">
        <v>255</v>
      </c>
      <c r="B40" s="6" t="s">
        <v>264</v>
      </c>
      <c r="C40" s="24" t="s">
        <v>265</v>
      </c>
      <c r="D40" s="14" t="n">
        <f aca="false">VLOOKUP(BT_VLOOKUP!B31,DanhMuc!$J$2:$K$5,2,TRUE())</f>
        <v>0.02</v>
      </c>
    </row>
    <row r="41" customFormat="false" ht="15" hidden="false" customHeight="false" outlineLevel="0" collapsed="false">
      <c r="A41" s="6" t="s">
        <v>255</v>
      </c>
      <c r="B41" s="6" t="s">
        <v>266</v>
      </c>
      <c r="C41" s="24" t="s">
        <v>267</v>
      </c>
      <c r="D41" s="13" t="n">
        <f aca="false">BT_VLOOKUP!B31*VLOOKUP(BT_VLOOKUP!B31,DanhMuc!$J$2:$K$5,2,TRUE())</f>
        <v>1980000</v>
      </c>
    </row>
    <row r="42" customFormat="false" ht="15" hidden="false" customHeight="false" outlineLevel="0" collapsed="false">
      <c r="A42" s="6" t="s">
        <v>255</v>
      </c>
      <c r="B42" s="6" t="s">
        <v>268</v>
      </c>
      <c r="C42" s="24" t="s">
        <v>269</v>
      </c>
      <c r="D42" s="14" t="n">
        <f aca="false">VLOOKUP(BT_VLOOKUP!B32,DanhMuc!$J$2:$K$5,2,TRUE())</f>
        <v>0.03</v>
      </c>
    </row>
    <row r="43" customFormat="false" ht="15" hidden="false" customHeight="false" outlineLevel="0" collapsed="false">
      <c r="A43" s="6" t="s">
        <v>255</v>
      </c>
      <c r="B43" s="6" t="s">
        <v>270</v>
      </c>
      <c r="C43" s="24" t="s">
        <v>271</v>
      </c>
      <c r="D43" s="13" t="n">
        <f aca="false">BT_VLOOKUP!B32*VLOOKUP(BT_VLOOKUP!B32,DanhMuc!$J$2:$K$5,2,TRUE())</f>
        <v>5550000</v>
      </c>
    </row>
    <row r="44" customFormat="false" ht="15" hidden="false" customHeight="false" outlineLevel="0" collapsed="false">
      <c r="A44" s="6" t="s">
        <v>255</v>
      </c>
      <c r="B44" s="6" t="s">
        <v>272</v>
      </c>
      <c r="C44" s="24" t="s">
        <v>273</v>
      </c>
      <c r="D44" s="14" t="n">
        <f aca="false">VLOOKUP(BT_VLOOKUP!B33,DanhMuc!$J$2:$K$5,2,TRUE())</f>
        <v>0.05</v>
      </c>
    </row>
    <row r="45" customFormat="false" ht="15" hidden="false" customHeight="false" outlineLevel="0" collapsed="false">
      <c r="A45" s="6" t="s">
        <v>255</v>
      </c>
      <c r="B45" s="6" t="s">
        <v>274</v>
      </c>
      <c r="C45" s="24" t="s">
        <v>275</v>
      </c>
      <c r="D45" s="13" t="n">
        <f aca="false">BT_VLOOKUP!B33*VLOOKUP(BT_VLOOKUP!B33,DanhMuc!$J$2:$K$5,2,TRUE())</f>
        <v>13000000</v>
      </c>
    </row>
    <row r="46" customFormat="false" ht="15" hidden="false" customHeight="false" outlineLevel="0" collapsed="false">
      <c r="A46" s="6" t="s">
        <v>9</v>
      </c>
      <c r="B46" s="6" t="s">
        <v>276</v>
      </c>
      <c r="C46" s="24" t="s">
        <v>277</v>
      </c>
      <c r="D46" s="13" t="n">
        <f aca="false">SUMIFS(DuLieu!$I$2:$I$51,DuLieu!$D$2:$D$51,"Hà Nội")</f>
        <v>207200000</v>
      </c>
    </row>
    <row r="47" customFormat="false" ht="15" hidden="false" customHeight="false" outlineLevel="0" collapsed="false">
      <c r="A47" s="6" t="s">
        <v>9</v>
      </c>
      <c r="B47" s="6" t="s">
        <v>278</v>
      </c>
      <c r="C47" s="24" t="s">
        <v>279</v>
      </c>
      <c r="D47" s="13" t="n">
        <f aca="false">SUMIFS(DuLieu!$G$2:$G$51,DuLieu!$E$2:$E$51,"SP02")</f>
        <v>31</v>
      </c>
    </row>
    <row r="48" customFormat="false" ht="15" hidden="false" customHeight="false" outlineLevel="0" collapsed="false">
      <c r="A48" s="6" t="s">
        <v>9</v>
      </c>
      <c r="B48" s="6" t="s">
        <v>280</v>
      </c>
      <c r="C48" s="24" t="s">
        <v>281</v>
      </c>
      <c r="D48" s="13" t="n">
        <f aca="false">SUMIFS(DuLieu!$I$2:$I$51,DuLieu!$F$2:$F$51,"Điện tử")</f>
        <v>992700000</v>
      </c>
    </row>
    <row r="49" customFormat="false" ht="23.85" hidden="false" customHeight="false" outlineLevel="0" collapsed="false">
      <c r="A49" s="6" t="s">
        <v>9</v>
      </c>
      <c r="B49" s="6" t="s">
        <v>282</v>
      </c>
      <c r="C49" s="24" t="s">
        <v>283</v>
      </c>
      <c r="D49" s="13" t="n">
        <f aca="false">SUMIFS(DuLieu!$I$2:$I$51,DuLieu!$C$2:$C$51,"Trần Thị Bình",DuLieu!$F$2:$F$51,"Phụ kiện")</f>
        <v>27600000</v>
      </c>
    </row>
    <row r="50" customFormat="false" ht="15" hidden="false" customHeight="false" outlineLevel="0" collapsed="false">
      <c r="A50" s="6" t="s">
        <v>9</v>
      </c>
      <c r="B50" s="6" t="s">
        <v>284</v>
      </c>
      <c r="C50" s="24" t="s">
        <v>285</v>
      </c>
      <c r="D50" s="13" t="n">
        <f aca="false">SUMIFS(DuLieu!$I$2:$I$51,DuLieu!$G$2:$G$51,"&gt;=5")</f>
        <v>762350000</v>
      </c>
    </row>
    <row r="51" customFormat="false" ht="23.85" hidden="false" customHeight="false" outlineLevel="0" collapsed="false">
      <c r="A51" s="6" t="s">
        <v>9</v>
      </c>
      <c r="B51" s="6" t="s">
        <v>286</v>
      </c>
      <c r="C51" s="24" t="s">
        <v>287</v>
      </c>
      <c r="D51" s="13" t="n">
        <f aca="false">SUMIFS(DuLieu!$I$2:$I$51,DuLieu!$B$2:$B$51,"&gt;="&amp;DATE(2026,2,1),DuLieu!$B$2:$B$51,"&lt;"&amp;DATE(2026,3,1))</f>
        <v>245200000</v>
      </c>
    </row>
    <row r="52" customFormat="false" ht="23.85" hidden="false" customHeight="false" outlineLevel="0" collapsed="false">
      <c r="A52" s="6" t="s">
        <v>9</v>
      </c>
      <c r="B52" s="6" t="s">
        <v>288</v>
      </c>
      <c r="C52" s="24" t="s">
        <v>289</v>
      </c>
      <c r="D52" s="13" t="n">
        <f aca="false">SUMIFS(DuLieu!$I$2:$I$51,DuLieu!$D$2:$D$51,"TP.HCM",DuLieu!$F$2:$F$51,"Văn phòng",DuLieu!$B$2:$B$51,"&gt;="&amp;DATE(2026,3,1),DuLieu!$B$2:$B$51,"&lt;"&amp;DATE(2026,4,1))</f>
        <v>0</v>
      </c>
    </row>
    <row r="53" customFormat="false" ht="15" hidden="false" customHeight="false" outlineLevel="0" collapsed="false">
      <c r="A53" s="6" t="s">
        <v>290</v>
      </c>
      <c r="B53" s="6" t="s">
        <v>291</v>
      </c>
      <c r="C53" s="24" t="s">
        <v>292</v>
      </c>
      <c r="D53" s="13" t="n">
        <f aca="false">SUMIFS(DuLieu!$I$2:$I$51,DuLieu!$D$2:$D$51,BT_SUMIFS!$A18,DuLieu!$F$2:$F$51,BT_SUMIFS!B$17)</f>
        <v>158100000</v>
      </c>
    </row>
    <row r="54" customFormat="false" ht="15" hidden="false" customHeight="false" outlineLevel="0" collapsed="false">
      <c r="A54" s="6" t="s">
        <v>290</v>
      </c>
      <c r="B54" s="6" t="s">
        <v>293</v>
      </c>
      <c r="C54" s="24" t="s">
        <v>294</v>
      </c>
      <c r="D54" s="13" t="n">
        <f aca="false">SUMIFS(DuLieu!$I$2:$I$51,DuLieu!$D$2:$D$51,BT_SUMIFS!$A18,DuLieu!$F$2:$F$51,BT_SUMIFS!C$17)</f>
        <v>30050000</v>
      </c>
    </row>
    <row r="55" customFormat="false" ht="15" hidden="false" customHeight="false" outlineLevel="0" collapsed="false">
      <c r="A55" s="6" t="s">
        <v>290</v>
      </c>
      <c r="B55" s="6" t="s">
        <v>295</v>
      </c>
      <c r="C55" s="24" t="s">
        <v>296</v>
      </c>
      <c r="D55" s="13" t="n">
        <f aca="false">SUMIFS(DuLieu!$I$2:$I$51,DuLieu!$D$2:$D$51,BT_SUMIFS!$A18,DuLieu!$F$2:$F$51,BT_SUMIFS!D$17)</f>
        <v>19050000</v>
      </c>
    </row>
    <row r="56" customFormat="false" ht="15" hidden="false" customHeight="false" outlineLevel="0" collapsed="false">
      <c r="A56" s="6" t="s">
        <v>290</v>
      </c>
      <c r="B56" s="6" t="s">
        <v>297</v>
      </c>
      <c r="C56" s="24" t="s">
        <v>298</v>
      </c>
      <c r="D56" s="13" t="n">
        <f aca="false">SUMIFS(DuLieu!$I$2:$I$51,DuLieu!$D$2:$D$51,BT_SUMIFS!$A19,DuLieu!$F$2:$F$51,BT_SUMIFS!B$17)</f>
        <v>206800000</v>
      </c>
    </row>
    <row r="57" customFormat="false" ht="15" hidden="false" customHeight="false" outlineLevel="0" collapsed="false">
      <c r="A57" s="6" t="s">
        <v>290</v>
      </c>
      <c r="B57" s="6" t="s">
        <v>299</v>
      </c>
      <c r="C57" s="24" t="s">
        <v>300</v>
      </c>
      <c r="D57" s="13" t="n">
        <f aca="false">SUMIFS(DuLieu!$I$2:$I$51,DuLieu!$D$2:$D$51,BT_SUMIFS!$A19,DuLieu!$F$2:$F$51,BT_SUMIFS!C$17)</f>
        <v>29200000</v>
      </c>
    </row>
    <row r="58" customFormat="false" ht="15" hidden="false" customHeight="false" outlineLevel="0" collapsed="false">
      <c r="A58" s="6" t="s">
        <v>290</v>
      </c>
      <c r="B58" s="6" t="s">
        <v>301</v>
      </c>
      <c r="C58" s="24" t="s">
        <v>302</v>
      </c>
      <c r="D58" s="13" t="n">
        <f aca="false">SUMIFS(DuLieu!$I$2:$I$51,DuLieu!$D$2:$D$51,BT_SUMIFS!$A19,DuLieu!$F$2:$F$51,BT_SUMIFS!D$17)</f>
        <v>30000000</v>
      </c>
    </row>
    <row r="59" customFormat="false" ht="15" hidden="false" customHeight="false" outlineLevel="0" collapsed="false">
      <c r="A59" s="6" t="s">
        <v>290</v>
      </c>
      <c r="B59" s="6" t="s">
        <v>303</v>
      </c>
      <c r="C59" s="24" t="s">
        <v>304</v>
      </c>
      <c r="D59" s="13" t="n">
        <f aca="false">SUMIFS(DuLieu!$I$2:$I$51,DuLieu!$D$2:$D$51,BT_SUMIFS!$A20,DuLieu!$F$2:$F$51,BT_SUMIFS!B$17)</f>
        <v>627800000</v>
      </c>
    </row>
    <row r="60" customFormat="false" ht="15" hidden="false" customHeight="false" outlineLevel="0" collapsed="false">
      <c r="A60" s="6" t="s">
        <v>290</v>
      </c>
      <c r="B60" s="6" t="s">
        <v>305</v>
      </c>
      <c r="C60" s="24" t="s">
        <v>306</v>
      </c>
      <c r="D60" s="13" t="n">
        <f aca="false">SUMIFS(DuLieu!$I$2:$I$51,DuLieu!$D$2:$D$51,BT_SUMIFS!$A20,DuLieu!$F$2:$F$51,BT_SUMIFS!C$17)</f>
        <v>34700000</v>
      </c>
    </row>
    <row r="61" customFormat="false" ht="15" hidden="false" customHeight="false" outlineLevel="0" collapsed="false">
      <c r="A61" s="6" t="s">
        <v>290</v>
      </c>
      <c r="B61" s="6" t="s">
        <v>307</v>
      </c>
      <c r="C61" s="24" t="s">
        <v>308</v>
      </c>
      <c r="D61" s="13" t="n">
        <f aca="false">SUMIFS(DuLieu!$I$2:$I$51,DuLieu!$D$2:$D$51,BT_SUMIFS!$A20,DuLieu!$F$2:$F$51,BT_SUMIFS!D$17)</f>
        <v>22050000</v>
      </c>
    </row>
    <row r="62" customFormat="false" ht="15" hidden="false" customHeight="false" outlineLevel="0" collapsed="false">
      <c r="A62" s="6" t="s">
        <v>11</v>
      </c>
      <c r="B62" s="6" t="s">
        <v>276</v>
      </c>
      <c r="C62" s="24" t="s">
        <v>309</v>
      </c>
      <c r="D62" s="13" t="n">
        <f aca="false">COUNTIFS(DuLieu!$D$2:$D$51,"Đà Nẵng")</f>
        <v>10</v>
      </c>
    </row>
    <row r="63" customFormat="false" ht="15" hidden="false" customHeight="false" outlineLevel="0" collapsed="false">
      <c r="A63" s="6" t="s">
        <v>11</v>
      </c>
      <c r="B63" s="6" t="s">
        <v>278</v>
      </c>
      <c r="C63" s="24" t="s">
        <v>310</v>
      </c>
      <c r="D63" s="13" t="n">
        <f aca="false">COUNTIFS(DuLieu!$E$2:$E$51,"SP01")</f>
        <v>9</v>
      </c>
    </row>
    <row r="64" customFormat="false" ht="15" hidden="false" customHeight="false" outlineLevel="0" collapsed="false">
      <c r="A64" s="6" t="s">
        <v>11</v>
      </c>
      <c r="B64" s="6" t="s">
        <v>280</v>
      </c>
      <c r="C64" s="24" t="s">
        <v>311</v>
      </c>
      <c r="D64" s="13" t="n">
        <f aca="false">COUNTIFS(DuLieu!$G$2:$G$51,"&gt;3")</f>
        <v>31</v>
      </c>
    </row>
    <row r="65" customFormat="false" ht="15" hidden="false" customHeight="false" outlineLevel="0" collapsed="false">
      <c r="A65" s="6" t="s">
        <v>11</v>
      </c>
      <c r="B65" s="6" t="s">
        <v>282</v>
      </c>
      <c r="C65" s="24" t="s">
        <v>312</v>
      </c>
      <c r="D65" s="13" t="n">
        <f aca="false">COUNTIFS(DuLieu!$C$2:$C$51,"Lê Hoàng Cường",DuLieu!$F$2:$F$51,"Điện tử")</f>
        <v>3</v>
      </c>
    </row>
    <row r="66" customFormat="false" ht="15" hidden="false" customHeight="false" outlineLevel="0" collapsed="false">
      <c r="A66" s="6" t="s">
        <v>11</v>
      </c>
      <c r="B66" s="6" t="s">
        <v>284</v>
      </c>
      <c r="C66" s="24" t="s">
        <v>313</v>
      </c>
      <c r="D66" s="13" t="n">
        <f aca="false">COUNTIFS(DuLieu!$B$2:$B$51,"&gt;="&amp;DATE(2026,1,1),DuLieu!$B$2:$B$51,"&lt;"&amp;DATE(2026,2,1))</f>
        <v>20</v>
      </c>
    </row>
    <row r="67" customFormat="false" ht="15" hidden="false" customHeight="false" outlineLevel="0" collapsed="false">
      <c r="A67" s="6" t="s">
        <v>11</v>
      </c>
      <c r="B67" s="6" t="s">
        <v>286</v>
      </c>
      <c r="C67" s="24" t="s">
        <v>314</v>
      </c>
      <c r="D67" s="13" t="n">
        <f aca="false">COUNTIFS(DuLieu!$I$2:$I$51,"&gt;=5000000",DuLieu!$I$2:$I$51,"&lt;=20000000")</f>
        <v>16</v>
      </c>
    </row>
    <row r="68" customFormat="false" ht="15" hidden="false" customHeight="false" outlineLevel="0" collapsed="false">
      <c r="A68" s="6" t="s">
        <v>11</v>
      </c>
      <c r="B68" s="6" t="s">
        <v>288</v>
      </c>
      <c r="C68" s="24" t="s">
        <v>315</v>
      </c>
      <c r="D68" s="13" t="n">
        <f aca="false">COUNTIFS(DuLieu!$C$2:$C$51,"*Thị*")</f>
        <v>22</v>
      </c>
    </row>
    <row r="69" customFormat="false" ht="23.85" hidden="false" customHeight="false" outlineLevel="0" collapsed="false">
      <c r="A69" s="6" t="s">
        <v>316</v>
      </c>
      <c r="B69" s="6" t="s">
        <v>291</v>
      </c>
      <c r="C69" s="24" t="s">
        <v>317</v>
      </c>
      <c r="D69" s="13" t="n">
        <f aca="false">COUNTIFS(DuLieu!$C$2:$C$51,BT_COUNTIFS!$A18,DuLieu!$F$2:$F$51,BT_COUNTIFS!B$17)</f>
        <v>2</v>
      </c>
    </row>
    <row r="70" customFormat="false" ht="23.85" hidden="false" customHeight="false" outlineLevel="0" collapsed="false">
      <c r="A70" s="6" t="s">
        <v>316</v>
      </c>
      <c r="B70" s="6" t="s">
        <v>293</v>
      </c>
      <c r="C70" s="24" t="s">
        <v>318</v>
      </c>
      <c r="D70" s="13" t="n">
        <f aca="false">COUNTIFS(DuLieu!$C$2:$C$51,BT_COUNTIFS!$A18,DuLieu!$F$2:$F$51,BT_COUNTIFS!C$17)</f>
        <v>1</v>
      </c>
    </row>
    <row r="71" customFormat="false" ht="23.85" hidden="false" customHeight="false" outlineLevel="0" collapsed="false">
      <c r="A71" s="6" t="s">
        <v>316</v>
      </c>
      <c r="B71" s="6" t="s">
        <v>295</v>
      </c>
      <c r="C71" s="24" t="s">
        <v>319</v>
      </c>
      <c r="D71" s="13" t="n">
        <f aca="false">COUNTIFS(DuLieu!$C$2:$C$51,BT_COUNTIFS!$A18,DuLieu!$F$2:$F$51,BT_COUNTIFS!D$17)</f>
        <v>3</v>
      </c>
    </row>
    <row r="72" customFormat="false" ht="23.85" hidden="false" customHeight="false" outlineLevel="0" collapsed="false">
      <c r="A72" s="6" t="s">
        <v>316</v>
      </c>
      <c r="B72" s="6" t="s">
        <v>297</v>
      </c>
      <c r="C72" s="24" t="s">
        <v>320</v>
      </c>
      <c r="D72" s="13" t="n">
        <f aca="false">COUNTIFS(DuLieu!$C$2:$C$51,BT_COUNTIFS!$A19,DuLieu!$F$2:$F$51,BT_COUNTIFS!B$17)</f>
        <v>2</v>
      </c>
    </row>
    <row r="73" customFormat="false" ht="23.85" hidden="false" customHeight="false" outlineLevel="0" collapsed="false">
      <c r="A73" s="6" t="s">
        <v>316</v>
      </c>
      <c r="B73" s="6" t="s">
        <v>299</v>
      </c>
      <c r="C73" s="24" t="s">
        <v>321</v>
      </c>
      <c r="D73" s="13" t="n">
        <f aca="false">COUNTIFS(DuLieu!$C$2:$C$51,BT_COUNTIFS!$A19,DuLieu!$F$2:$F$51,BT_COUNTIFS!C$17)</f>
        <v>4</v>
      </c>
    </row>
    <row r="74" customFormat="false" ht="23.85" hidden="false" customHeight="false" outlineLevel="0" collapsed="false">
      <c r="A74" s="6" t="s">
        <v>316</v>
      </c>
      <c r="B74" s="6" t="s">
        <v>301</v>
      </c>
      <c r="C74" s="24" t="s">
        <v>322</v>
      </c>
      <c r="D74" s="13" t="n">
        <f aca="false">COUNTIFS(DuLieu!$C$2:$C$51,BT_COUNTIFS!$A19,DuLieu!$F$2:$F$51,BT_COUNTIFS!D$17)</f>
        <v>2</v>
      </c>
    </row>
    <row r="75" customFormat="false" ht="23.85" hidden="false" customHeight="false" outlineLevel="0" collapsed="false">
      <c r="A75" s="6" t="s">
        <v>316</v>
      </c>
      <c r="B75" s="6" t="s">
        <v>303</v>
      </c>
      <c r="C75" s="24" t="s">
        <v>323</v>
      </c>
      <c r="D75" s="13" t="n">
        <f aca="false">COUNTIFS(DuLieu!$C$2:$C$51,BT_COUNTIFS!$A20,DuLieu!$F$2:$F$51,BT_COUNTIFS!B$17)</f>
        <v>3</v>
      </c>
    </row>
    <row r="76" customFormat="false" ht="23.85" hidden="false" customHeight="false" outlineLevel="0" collapsed="false">
      <c r="A76" s="6" t="s">
        <v>316</v>
      </c>
      <c r="B76" s="6" t="s">
        <v>305</v>
      </c>
      <c r="C76" s="24" t="s">
        <v>324</v>
      </c>
      <c r="D76" s="13" t="n">
        <f aca="false">COUNTIFS(DuLieu!$C$2:$C$51,BT_COUNTIFS!$A20,DuLieu!$F$2:$F$51,BT_COUNTIFS!C$17)</f>
        <v>4</v>
      </c>
    </row>
    <row r="77" customFormat="false" ht="23.85" hidden="false" customHeight="false" outlineLevel="0" collapsed="false">
      <c r="A77" s="6" t="s">
        <v>316</v>
      </c>
      <c r="B77" s="6" t="s">
        <v>307</v>
      </c>
      <c r="C77" s="24" t="s">
        <v>325</v>
      </c>
      <c r="D77" s="13" t="n">
        <f aca="false">COUNTIFS(DuLieu!$C$2:$C$51,BT_COUNTIFS!$A20,DuLieu!$F$2:$F$51,BT_COUNTIFS!D$17)</f>
        <v>3</v>
      </c>
    </row>
    <row r="78" customFormat="false" ht="23.85" hidden="false" customHeight="false" outlineLevel="0" collapsed="false">
      <c r="A78" s="6" t="s">
        <v>316</v>
      </c>
      <c r="B78" s="6" t="s">
        <v>326</v>
      </c>
      <c r="C78" s="24" t="s">
        <v>327</v>
      </c>
      <c r="D78" s="13" t="n">
        <f aca="false">COUNTIFS(DuLieu!$C$2:$C$51,BT_COUNTIFS!$A21,DuLieu!$F$2:$F$51,BT_COUNTIFS!B$17)</f>
        <v>5</v>
      </c>
    </row>
    <row r="79" customFormat="false" ht="23.85" hidden="false" customHeight="false" outlineLevel="0" collapsed="false">
      <c r="A79" s="6" t="s">
        <v>316</v>
      </c>
      <c r="B79" s="6" t="s">
        <v>328</v>
      </c>
      <c r="C79" s="24" t="s">
        <v>329</v>
      </c>
      <c r="D79" s="13" t="n">
        <f aca="false">COUNTIFS(DuLieu!$C$2:$C$51,BT_COUNTIFS!$A21,DuLieu!$F$2:$F$51,BT_COUNTIFS!C$17)</f>
        <v>5</v>
      </c>
    </row>
    <row r="80" customFormat="false" ht="23.85" hidden="false" customHeight="false" outlineLevel="0" collapsed="false">
      <c r="A80" s="6" t="s">
        <v>316</v>
      </c>
      <c r="B80" s="6" t="s">
        <v>330</v>
      </c>
      <c r="C80" s="24" t="s">
        <v>331</v>
      </c>
      <c r="D80" s="13" t="n">
        <f aca="false">COUNTIFS(DuLieu!$C$2:$C$51,BT_COUNTIFS!$A21,DuLieu!$F$2:$F$51,BT_COUNTIFS!D$17)</f>
        <v>2</v>
      </c>
    </row>
    <row r="81" customFormat="false" ht="23.85" hidden="false" customHeight="false" outlineLevel="0" collapsed="false">
      <c r="A81" s="6" t="s">
        <v>316</v>
      </c>
      <c r="B81" s="6" t="s">
        <v>332</v>
      </c>
      <c r="C81" s="24" t="s">
        <v>333</v>
      </c>
      <c r="D81" s="13" t="n">
        <f aca="false">COUNTIFS(DuLieu!$C$2:$C$51,BT_COUNTIFS!$A22,DuLieu!$F$2:$F$51,BT_COUNTIFS!B$17)</f>
        <v>8</v>
      </c>
    </row>
    <row r="82" customFormat="false" ht="23.85" hidden="false" customHeight="false" outlineLevel="0" collapsed="false">
      <c r="A82" s="6" t="s">
        <v>316</v>
      </c>
      <c r="B82" s="6" t="s">
        <v>334</v>
      </c>
      <c r="C82" s="24" t="s">
        <v>335</v>
      </c>
      <c r="D82" s="13" t="n">
        <f aca="false">COUNTIFS(DuLieu!$C$2:$C$51,BT_COUNTIFS!$A22,DuLieu!$F$2:$F$51,BT_COUNTIFS!C$17)</f>
        <v>3</v>
      </c>
    </row>
    <row r="83" customFormat="false" ht="23.85" hidden="false" customHeight="false" outlineLevel="0" collapsed="false">
      <c r="A83" s="6" t="s">
        <v>316</v>
      </c>
      <c r="B83" s="6" t="s">
        <v>336</v>
      </c>
      <c r="C83" s="24" t="s">
        <v>337</v>
      </c>
      <c r="D83" s="13" t="n">
        <f aca="false">COUNTIFS(DuLieu!$C$2:$C$51,BT_COUNTIFS!$A22,DuLieu!$F$2:$F$51,BT_COUNTIFS!D$17)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2026-10-08T16:43:06Z</dcterms:created>
  <dc:creator>openpyxl</dc:creator>
  <dc:description/>
  <dc:language>en-US</dc:language>
  <cp:lastModifiedBy/>
  <dcterms:modified xsi:type="dcterms:W3CDTF">2026-10-08T16:43:06Z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